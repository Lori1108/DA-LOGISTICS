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bip\OneDrive\Documentos\DA LOGISTICS\"/>
    </mc:Choice>
  </mc:AlternateContent>
  <bookViews>
    <workbookView xWindow="0" yWindow="0" windowWidth="23040" windowHeight="8496"/>
  </bookViews>
  <sheets>
    <sheet name="RUTA 41" sheetId="1" r:id="rId1"/>
    <sheet name="RUTA 42 " sheetId="3" r:id="rId2"/>
    <sheet name="RUTA 43" sheetId="4" r:id="rId3"/>
    <sheet name="RUTA 44" sheetId="5" r:id="rId4"/>
    <sheet name="RUTA 45" sheetId="6" r:id="rId5"/>
    <sheet name="RUTA 46 " sheetId="7" r:id="rId6"/>
  </sheets>
  <definedNames>
    <definedName name="_xlnm._FilterDatabase" localSheetId="0" hidden="1">'RUTA 41'!$A$1:$H$81</definedName>
    <definedName name="_xlnm._FilterDatabase" localSheetId="1" hidden="1">'RUTA 42 '!$A$1:$H$46</definedName>
    <definedName name="_xlnm._FilterDatabase" localSheetId="2" hidden="1">'RUTA 43'!$A$1:$H$32</definedName>
    <definedName name="_xlnm._FilterDatabase" localSheetId="3" hidden="1">'RUTA 44'!$A$1:$H$42</definedName>
    <definedName name="_xlnm._FilterDatabase" localSheetId="4" hidden="1">'RUTA 45'!$A$1:$H$41</definedName>
    <definedName name="_xlnm._FilterDatabase" localSheetId="5" hidden="1">'RUTA 46 '!$A$1:$H$48</definedName>
  </definedNames>
  <calcPr calcId="162913"/>
</workbook>
</file>

<file path=xl/calcChain.xml><?xml version="1.0" encoding="utf-8"?>
<calcChain xmlns="http://schemas.openxmlformats.org/spreadsheetml/2006/main">
  <c r="G45" i="7" l="1"/>
  <c r="G39" i="7"/>
  <c r="G34" i="7"/>
  <c r="G27" i="7"/>
  <c r="G17" i="7"/>
  <c r="G16" i="7"/>
  <c r="G15" i="7"/>
  <c r="G11" i="7"/>
  <c r="G4" i="7"/>
  <c r="G13" i="1" l="1"/>
  <c r="G81" i="1" l="1"/>
  <c r="G30" i="4" l="1"/>
  <c r="G29" i="4"/>
  <c r="G43" i="3" l="1"/>
  <c r="G42" i="3"/>
  <c r="G40" i="3"/>
  <c r="G39" i="3"/>
  <c r="G38" i="3"/>
  <c r="G37" i="3"/>
  <c r="G77" i="1" l="1"/>
  <c r="G32" i="5" l="1"/>
  <c r="G20" i="4"/>
  <c r="G62" i="1" l="1"/>
  <c r="G63" i="1"/>
  <c r="G40" i="1"/>
  <c r="G14" i="1"/>
  <c r="G22" i="6" l="1"/>
  <c r="G21" i="6"/>
  <c r="G7" i="5" l="1"/>
  <c r="G24" i="3" l="1"/>
  <c r="G19" i="3"/>
  <c r="G18" i="3"/>
  <c r="G13" i="3"/>
  <c r="G8" i="3"/>
  <c r="G7" i="3"/>
  <c r="G15" i="6"/>
  <c r="G14" i="6"/>
  <c r="G9" i="6"/>
  <c r="G4" i="6"/>
  <c r="G2" i="6"/>
  <c r="G71" i="1" l="1"/>
  <c r="G36" i="1" l="1"/>
  <c r="G61" i="1"/>
  <c r="G16" i="1"/>
  <c r="G17" i="1"/>
  <c r="G66" i="1"/>
  <c r="G60" i="1"/>
  <c r="G59" i="1"/>
  <c r="G32" i="1"/>
  <c r="G8" i="1"/>
</calcChain>
</file>

<file path=xl/comments1.xml><?xml version="1.0" encoding="utf-8"?>
<comments xmlns="http://schemas.openxmlformats.org/spreadsheetml/2006/main">
  <authors>
    <author>Author</author>
  </authors>
  <commentList>
    <comment ref="C10" authorId="0" shapeId="0">
      <text>
        <r>
          <rPr>
            <sz val="12"/>
            <color indexed="8"/>
            <rFont val="Calibri"/>
            <family val="2"/>
          </rPr>
          <t>Location will be created using the supplied address.</t>
        </r>
      </text>
    </comment>
  </commentList>
</comments>
</file>

<file path=xl/sharedStrings.xml><?xml version="1.0" encoding="utf-8"?>
<sst xmlns="http://schemas.openxmlformats.org/spreadsheetml/2006/main" count="897" uniqueCount="475">
  <si>
    <t>ID de orden</t>
  </si>
  <si>
    <t>Fecha</t>
  </si>
  <si>
    <t>Dirección</t>
  </si>
  <si>
    <t>ID de ubicación</t>
  </si>
  <si>
    <t>Nombre de ubicación</t>
  </si>
  <si>
    <t>Latitud</t>
  </si>
  <si>
    <t>Longitud</t>
  </si>
  <si>
    <t>Notas</t>
  </si>
  <si>
    <t>ORD001</t>
  </si>
  <si>
    <t>THRUMAN  41</t>
  </si>
  <si>
    <t>JORGE SAN JUAN 41</t>
  </si>
  <si>
    <t>JOSE TERCER PISO 41</t>
  </si>
  <si>
    <t>MIRIAN TUANAMA  41</t>
  </si>
  <si>
    <t>BENITA (2 HERMANAS) 41</t>
  </si>
  <si>
    <t>LILI 2 (HERMANITAS) 41</t>
  </si>
  <si>
    <t>GEMA RENGIFO 41</t>
  </si>
  <si>
    <t>MAGDALENA MORI 41</t>
  </si>
  <si>
    <t>SARITA (LAS PREVIAS) 41</t>
  </si>
  <si>
    <t>MARIA ELENA  41</t>
  </si>
  <si>
    <t>MARCEVI 41</t>
  </si>
  <si>
    <t>LUZ IDAURA  41</t>
  </si>
  <si>
    <t>FELICITA INFANTE  41</t>
  </si>
  <si>
    <t>FARA INFANTE  41</t>
  </si>
  <si>
    <t>CARMELA  41</t>
  </si>
  <si>
    <t>RODANIA  41</t>
  </si>
  <si>
    <t>MARIELA  41</t>
  </si>
  <si>
    <t>ROSITA  41</t>
  </si>
  <si>
    <t>GLADYS  41</t>
  </si>
  <si>
    <t>KARINA FABIAN  41</t>
  </si>
  <si>
    <t>ETI  41</t>
  </si>
  <si>
    <t>NELIDAD HERNADEZ  41</t>
  </si>
  <si>
    <t>MARIA HERNANDEZ  41</t>
  </si>
  <si>
    <t>MARIA BARAHONA  41</t>
  </si>
  <si>
    <t>MAGUI BAR  41</t>
  </si>
  <si>
    <t>PACO SEGURA  41</t>
  </si>
  <si>
    <t>PINCHI MENDOZA  41</t>
  </si>
  <si>
    <t>YESSENIA PEREZ  41</t>
  </si>
  <si>
    <t>KARINA MINIMARKET  41</t>
  </si>
  <si>
    <t>WILDER MAYORISTA  41</t>
  </si>
  <si>
    <t>TESSY  41</t>
  </si>
  <si>
    <t>HANER 41</t>
  </si>
  <si>
    <t xml:space="preserve">BELLAVISTA </t>
  </si>
  <si>
    <t>ORD002</t>
  </si>
  <si>
    <t>ORD003</t>
  </si>
  <si>
    <t>ORD004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</si>
  <si>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</si>
  <si>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</si>
  <si>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</si>
  <si>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</si>
  <si>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</si>
  <si>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</si>
  <si>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</si>
  <si>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</si>
  <si>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</si>
  <si>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</si>
  <si>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</si>
  <si>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</si>
  <si>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</si>
  <si>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</si>
  <si>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</si>
  <si>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</si>
  <si>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</si>
  <si>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</si>
  <si>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</si>
  <si>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</si>
  <si>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</si>
  <si>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</si>
  <si>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</si>
  <si>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</si>
  <si>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</si>
  <si>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</si>
  <si>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</si>
  <si>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</si>
  <si>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</si>
  <si>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</si>
  <si>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</si>
  <si>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</si>
  <si>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</si>
  <si>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</si>
  <si>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</si>
  <si>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</si>
  <si>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</si>
  <si>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</si>
  <si>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 xml:space="preserve">LIMON </t>
  </si>
  <si>
    <t>SAN JOSÉ</t>
  </si>
  <si>
    <t xml:space="preserve">SAN RAFAEL </t>
  </si>
  <si>
    <t>LIBERTAD</t>
  </si>
  <si>
    <t xml:space="preserve">SAN HILARION </t>
  </si>
  <si>
    <t xml:space="preserve">PUERTO RICO </t>
  </si>
  <si>
    <t> -7.12851</t>
  </si>
  <si>
    <t>ORD005</t>
  </si>
  <si>
    <t xml:space="preserve">SALIVITH 41 </t>
  </si>
  <si>
    <t xml:space="preserve">PERUATE </t>
  </si>
  <si>
    <t xml:space="preserve">CENTRO AMERICA </t>
  </si>
  <si>
    <t xml:space="preserve">CONSUELO </t>
  </si>
  <si>
    <t>FAUSA LAMISTA</t>
  </si>
  <si>
    <t xml:space="preserve">SANTA ROSA </t>
  </si>
  <si>
    <t xml:space="preserve">SANTA VICTORIA </t>
  </si>
  <si>
    <t>VINA 41</t>
  </si>
  <si>
    <t>ALFREDO GARCIA 41</t>
  </si>
  <si>
    <t>DON LEO 41</t>
  </si>
  <si>
    <t>RUBEN 41</t>
  </si>
  <si>
    <t xml:space="preserve">PORVENIR </t>
  </si>
  <si>
    <t xml:space="preserve">NAYELY 41 </t>
  </si>
  <si>
    <t>IRAIDA CAMPOS 41</t>
  </si>
  <si>
    <t>GLADYS JIMENEZ 41</t>
  </si>
  <si>
    <t>TERESA GONSALES 41</t>
  </si>
  <si>
    <t xml:space="preserve">VAINILLA </t>
  </si>
  <si>
    <t xml:space="preserve">NUEVO MUNDO </t>
  </si>
  <si>
    <t xml:space="preserve">NUEVO LIMA </t>
  </si>
  <si>
    <t>VALPARAISO</t>
  </si>
  <si>
    <t xml:space="preserve">LA UNION </t>
  </si>
  <si>
    <t xml:space="preserve">DOS UNIDOS </t>
  </si>
  <si>
    <t>CUSCO</t>
  </si>
  <si>
    <t xml:space="preserve">CUSCO </t>
  </si>
  <si>
    <t xml:space="preserve">BARRANCA </t>
  </si>
  <si>
    <t xml:space="preserve">Eslabon  </t>
  </si>
  <si>
    <t xml:space="preserve">Wilmer Rodrigues </t>
  </si>
  <si>
    <t xml:space="preserve">Saposoa </t>
  </si>
  <si>
    <t xml:space="preserve">Antonio </t>
  </si>
  <si>
    <t xml:space="preserve">Sacancche </t>
  </si>
  <si>
    <t xml:space="preserve">Laura </t>
  </si>
  <si>
    <t xml:space="preserve">Piscuyacu </t>
  </si>
  <si>
    <t xml:space="preserve">Dante </t>
  </si>
  <si>
    <t xml:space="preserve">Rober billar </t>
  </si>
  <si>
    <t>ORD0001</t>
  </si>
  <si>
    <t>ORD0002</t>
  </si>
  <si>
    <t>ORD0003</t>
  </si>
  <si>
    <t>ORD0004</t>
  </si>
  <si>
    <t>ORD0005</t>
  </si>
  <si>
    <t>ORD0006</t>
  </si>
  <si>
    <t>ORD0007</t>
  </si>
  <si>
    <t xml:space="preserve">Notas </t>
  </si>
  <si>
    <t xml:space="preserve">HUAYABAMBA </t>
  </si>
  <si>
    <t xml:space="preserve">Matilde Pinedo </t>
  </si>
  <si>
    <t xml:space="preserve">Rosa Katherine </t>
  </si>
  <si>
    <t xml:space="preserve">Kelly Pentagrama </t>
  </si>
  <si>
    <t xml:space="preserve">QUINILLA </t>
  </si>
  <si>
    <t xml:space="preserve">Pepe </t>
  </si>
  <si>
    <t xml:space="preserve">Eudoberto </t>
  </si>
  <si>
    <t>Matutino La Deboradora</t>
  </si>
  <si>
    <t>Celinda Mozombite</t>
  </si>
  <si>
    <t xml:space="preserve">HUINGUILLO </t>
  </si>
  <si>
    <t>PACHIZA</t>
  </si>
  <si>
    <t xml:space="preserve">Maria Maza </t>
  </si>
  <si>
    <t xml:space="preserve">Lidia Toribio </t>
  </si>
  <si>
    <t xml:space="preserve">Tatiana Cardenas </t>
  </si>
  <si>
    <t xml:space="preserve">Martha </t>
  </si>
  <si>
    <t xml:space="preserve">Olmedo </t>
  </si>
  <si>
    <t xml:space="preserve">Lourdes </t>
  </si>
  <si>
    <t xml:space="preserve">HUICUNGO </t>
  </si>
  <si>
    <t xml:space="preserve">Wildoro Ruiz </t>
  </si>
  <si>
    <t xml:space="preserve">Jorge sangama </t>
  </si>
  <si>
    <t xml:space="preserve">Holanda alvares </t>
  </si>
  <si>
    <t xml:space="preserve">juan lucio </t>
  </si>
  <si>
    <t>ORD0008</t>
  </si>
  <si>
    <t>ORD0009</t>
  </si>
  <si>
    <t>ORD0010</t>
  </si>
  <si>
    <t>ORD0011</t>
  </si>
  <si>
    <t>ORD0012</t>
  </si>
  <si>
    <t>ORD0013</t>
  </si>
  <si>
    <t>ORD0014</t>
  </si>
  <si>
    <t xml:space="preserve">Julia </t>
  </si>
  <si>
    <t xml:space="preserve">Leonardo Cueva </t>
  </si>
  <si>
    <t xml:space="preserve">Beatriz </t>
  </si>
  <si>
    <t xml:space="preserve">Edy </t>
  </si>
  <si>
    <t xml:space="preserve">Rodolfo </t>
  </si>
  <si>
    <t xml:space="preserve">Leonardo VIA </t>
  </si>
  <si>
    <t xml:space="preserve">Rosa Luz </t>
  </si>
  <si>
    <t>Teolinda</t>
  </si>
  <si>
    <t>Teresa</t>
  </si>
  <si>
    <t>Alfonsa Pérez</t>
  </si>
  <si>
    <t xml:space="preserve">San Regis </t>
  </si>
  <si>
    <t>Luz Maria</t>
  </si>
  <si>
    <t xml:space="preserve">Tanger </t>
  </si>
  <si>
    <t>ORD0015</t>
  </si>
  <si>
    <t>ORD0016</t>
  </si>
  <si>
    <t>ORD0017</t>
  </si>
  <si>
    <t>ORD0018</t>
  </si>
  <si>
    <t>ORD0019</t>
  </si>
  <si>
    <t xml:space="preserve">Willian </t>
  </si>
  <si>
    <t xml:space="preserve">Pasarraya </t>
  </si>
  <si>
    <t xml:space="preserve">Belio </t>
  </si>
  <si>
    <t>ORD0020</t>
  </si>
  <si>
    <t>ORD0021</t>
  </si>
  <si>
    <t>ORD0022</t>
  </si>
  <si>
    <t>ORD0023</t>
  </si>
  <si>
    <t>ORD0024</t>
  </si>
  <si>
    <t>ORD0025</t>
  </si>
  <si>
    <t>Nueva Vida</t>
  </si>
  <si>
    <t xml:space="preserve">Deisy </t>
  </si>
  <si>
    <t xml:space="preserve">Noemy </t>
  </si>
  <si>
    <t xml:space="preserve">Malca </t>
  </si>
  <si>
    <t>Oscar</t>
  </si>
  <si>
    <t xml:space="preserve">Dora </t>
  </si>
  <si>
    <t xml:space="preserve">Tingo de saposoa </t>
  </si>
  <si>
    <t xml:space="preserve">Merlin </t>
  </si>
  <si>
    <t>ORD0026</t>
  </si>
  <si>
    <t xml:space="preserve">MARIA BRIGIDA </t>
  </si>
  <si>
    <t xml:space="preserve">GLORIOSO </t>
  </si>
  <si>
    <t xml:space="preserve">LILI </t>
  </si>
  <si>
    <t xml:space="preserve">FRITZ </t>
  </si>
  <si>
    <t xml:space="preserve">ERICK JHOAN </t>
  </si>
  <si>
    <t xml:space="preserve">ADAN RAMIREZ </t>
  </si>
  <si>
    <t xml:space="preserve">FERNANDO TALLER </t>
  </si>
  <si>
    <t xml:space="preserve">DELIO GONZALES </t>
  </si>
  <si>
    <t xml:space="preserve">LOISI TAPULLIMA </t>
  </si>
  <si>
    <t xml:space="preserve">RODOLFO </t>
  </si>
  <si>
    <t xml:space="preserve">ROSA YMELDA </t>
  </si>
  <si>
    <t xml:space="preserve">JANETH </t>
  </si>
  <si>
    <t xml:space="preserve">YOLANDA </t>
  </si>
  <si>
    <t xml:space="preserve">RONALD </t>
  </si>
  <si>
    <t xml:space="preserve">MAURA </t>
  </si>
  <si>
    <t xml:space="preserve">ERIKA MIRELLA </t>
  </si>
  <si>
    <t xml:space="preserve">LITA ROSELITA </t>
  </si>
  <si>
    <t xml:space="preserve">ENEMECIO </t>
  </si>
  <si>
    <t xml:space="preserve">DELIA </t>
  </si>
  <si>
    <t xml:space="preserve">ERWIN </t>
  </si>
  <si>
    <t xml:space="preserve">MARIANIT </t>
  </si>
  <si>
    <t xml:space="preserve">BERMELITH </t>
  </si>
  <si>
    <t>RICKY FLANGER</t>
  </si>
  <si>
    <t xml:space="preserve">LEYLI </t>
  </si>
  <si>
    <t xml:space="preserve">JACKELINE HUAMAN </t>
  </si>
  <si>
    <t xml:space="preserve">LLOY </t>
  </si>
  <si>
    <t xml:space="preserve">KELLY PENTAGRAMA </t>
  </si>
  <si>
    <t xml:space="preserve">JUANA PUTPAÑA </t>
  </si>
  <si>
    <t xml:space="preserve">ADANEY </t>
  </si>
  <si>
    <t>ORD044</t>
  </si>
  <si>
    <t>ORD045</t>
  </si>
  <si>
    <t>ORD046</t>
  </si>
  <si>
    <t>ORD047</t>
  </si>
  <si>
    <t xml:space="preserve">MARIA DOMINGUEZ </t>
  </si>
  <si>
    <t xml:space="preserve">VILMA </t>
  </si>
  <si>
    <t>KETY LUZ</t>
  </si>
  <si>
    <t>ORD048</t>
  </si>
  <si>
    <t>ORD049</t>
  </si>
  <si>
    <t>ORD050</t>
  </si>
  <si>
    <t>ORD051</t>
  </si>
  <si>
    <t xml:space="preserve">REYNA MUNDACA </t>
  </si>
  <si>
    <t xml:space="preserve">MARIA LILA </t>
  </si>
  <si>
    <t>ANGELICA MARIA</t>
  </si>
  <si>
    <t xml:space="preserve">NORMA YSUIZA </t>
  </si>
  <si>
    <t xml:space="preserve">GLORIA </t>
  </si>
  <si>
    <t>ORD052</t>
  </si>
  <si>
    <t>ORD053</t>
  </si>
  <si>
    <t>ORD054</t>
  </si>
  <si>
    <t xml:space="preserve">REYNER SAJAMI </t>
  </si>
  <si>
    <t xml:space="preserve">BEATRIZ (BAR) </t>
  </si>
  <si>
    <t xml:space="preserve">OLGA URQUIA </t>
  </si>
  <si>
    <t>ORD055</t>
  </si>
  <si>
    <t>ORD056</t>
  </si>
  <si>
    <t>ORD057</t>
  </si>
  <si>
    <t>ORD058</t>
  </si>
  <si>
    <t xml:space="preserve">INVERSIONES CASPIZAPA </t>
  </si>
  <si>
    <t xml:space="preserve">CASPIZAPA </t>
  </si>
  <si>
    <t xml:space="preserve">YESSY FASANANDO </t>
  </si>
  <si>
    <t xml:space="preserve">MARILYN GOMEZ </t>
  </si>
  <si>
    <t>ORD059</t>
  </si>
  <si>
    <t xml:space="preserve">MARIA KELLY </t>
  </si>
  <si>
    <t xml:space="preserve">ENRIQUE </t>
  </si>
  <si>
    <t xml:space="preserve">KATYA </t>
  </si>
  <si>
    <t xml:space="preserve">HERMITAÑO </t>
  </si>
  <si>
    <t xml:space="preserve">CARRANZA </t>
  </si>
  <si>
    <t xml:space="preserve">LUIS ALBERTO </t>
  </si>
  <si>
    <t xml:space="preserve">MARCELA MENDOZA </t>
  </si>
  <si>
    <t xml:space="preserve">ORFITA </t>
  </si>
  <si>
    <t xml:space="preserve">JANETH ( RESTAURANT LA GATA) </t>
  </si>
  <si>
    <t xml:space="preserve">ZOILA </t>
  </si>
  <si>
    <t xml:space="preserve">ISMAEL CONTRERAS </t>
  </si>
  <si>
    <t xml:space="preserve">ELFEREZ OLIVERA </t>
  </si>
  <si>
    <t xml:space="preserve">WENINGER </t>
  </si>
  <si>
    <t xml:space="preserve">MARIA </t>
  </si>
  <si>
    <t xml:space="preserve">ROSARIO RENGIFO </t>
  </si>
  <si>
    <t xml:space="preserve">ELSA FERNANDEZ </t>
  </si>
  <si>
    <t xml:space="preserve">VANESA </t>
  </si>
  <si>
    <t xml:space="preserve">AURELIA </t>
  </si>
  <si>
    <t xml:space="preserve">LLOYSI </t>
  </si>
  <si>
    <t xml:space="preserve">DITER </t>
  </si>
  <si>
    <t xml:space="preserve">DARIO SILVA </t>
  </si>
  <si>
    <t xml:space="preserve">CARLOS ALBERTO </t>
  </si>
  <si>
    <t xml:space="preserve">DIANA MENDOZA </t>
  </si>
  <si>
    <t xml:space="preserve">JANETH LUNA </t>
  </si>
  <si>
    <t xml:space="preserve">THALIA </t>
  </si>
  <si>
    <t xml:space="preserve">SANTA ELENA </t>
  </si>
  <si>
    <t xml:space="preserve">EMITA </t>
  </si>
  <si>
    <t xml:space="preserve">EDGAR </t>
  </si>
  <si>
    <t xml:space="preserve">LESLY VILLANUEVA </t>
  </si>
  <si>
    <t xml:space="preserve">COMERCIAL JAKET </t>
  </si>
  <si>
    <t xml:space="preserve">ELVIRA </t>
  </si>
  <si>
    <t>GROTY</t>
  </si>
  <si>
    <t xml:space="preserve">IZAC PARDO </t>
  </si>
  <si>
    <t xml:space="preserve">EDWAR EMERSON </t>
  </si>
  <si>
    <t xml:space="preserve">PACHIZA </t>
  </si>
  <si>
    <t xml:space="preserve">MARINA ROJAS </t>
  </si>
  <si>
    <t xml:space="preserve">DALMITH </t>
  </si>
  <si>
    <t xml:space="preserve">ASTERIA </t>
  </si>
  <si>
    <t xml:space="preserve">RESTOBAR ASIA </t>
  </si>
  <si>
    <t xml:space="preserve">RODRIGUEZ </t>
  </si>
  <si>
    <t xml:space="preserve">SAN PABLO </t>
  </si>
  <si>
    <t xml:space="preserve">FELIZA </t>
  </si>
  <si>
    <t xml:space="preserve">MILDRET </t>
  </si>
  <si>
    <t xml:space="preserve">PETIT </t>
  </si>
  <si>
    <t xml:space="preserve">LLOLLITH </t>
  </si>
  <si>
    <t xml:space="preserve">GUILLERMO </t>
  </si>
  <si>
    <t xml:space="preserve">SANTA MARTHA </t>
  </si>
  <si>
    <t>URIAS</t>
  </si>
  <si>
    <t>ORD0027</t>
  </si>
  <si>
    <t>ORD0028</t>
  </si>
  <si>
    <t>ORD0029</t>
  </si>
  <si>
    <t>ORD0030</t>
  </si>
  <si>
    <t xml:space="preserve">Gisell </t>
  </si>
  <si>
    <t xml:space="preserve">karmen </t>
  </si>
  <si>
    <t xml:space="preserve">Elvira Jesús </t>
  </si>
  <si>
    <t>Darvin Vasquez</t>
  </si>
  <si>
    <t>ORD0031</t>
  </si>
  <si>
    <t>ORD0032</t>
  </si>
  <si>
    <t>ORD0033</t>
  </si>
  <si>
    <t xml:space="preserve">Emiterio </t>
  </si>
  <si>
    <t xml:space="preserve">Rosa </t>
  </si>
  <si>
    <t>ORD0034</t>
  </si>
  <si>
    <t>ORD0035</t>
  </si>
  <si>
    <t>ORD0036</t>
  </si>
  <si>
    <t xml:space="preserve">Sabrina RECREO VIA </t>
  </si>
  <si>
    <t xml:space="preserve">Delina Rengifo </t>
  </si>
  <si>
    <t xml:space="preserve">valvina </t>
  </si>
  <si>
    <t xml:space="preserve">FLORENTINA </t>
  </si>
  <si>
    <t>ORD060</t>
  </si>
  <si>
    <t>ORD061</t>
  </si>
  <si>
    <t xml:space="preserve">KENNY VASQUEZ </t>
  </si>
  <si>
    <t xml:space="preserve">ANNY FALEN </t>
  </si>
  <si>
    <t xml:space="preserve">RUBEN CARDENAS </t>
  </si>
  <si>
    <t xml:space="preserve">LUCY INGRID </t>
  </si>
  <si>
    <t xml:space="preserve">CILES RONCAL </t>
  </si>
  <si>
    <t>ORD062</t>
  </si>
  <si>
    <t>ORD063</t>
  </si>
  <si>
    <t>ORD064</t>
  </si>
  <si>
    <t>ORD065</t>
  </si>
  <si>
    <t>TERESA</t>
  </si>
  <si>
    <t xml:space="preserve">EDDY IZUISA </t>
  </si>
  <si>
    <t xml:space="preserve">MARIZOL PALACIOS </t>
  </si>
  <si>
    <t>ORD066</t>
  </si>
  <si>
    <t>ORD067</t>
  </si>
  <si>
    <t>ORD068</t>
  </si>
  <si>
    <t xml:space="preserve">EDITHA DAVILA </t>
  </si>
  <si>
    <t xml:space="preserve">VICTORIA GARCIA </t>
  </si>
  <si>
    <t xml:space="preserve">LILIANA GUEVARA </t>
  </si>
  <si>
    <t>ORD069</t>
  </si>
  <si>
    <t>ORD070</t>
  </si>
  <si>
    <t>ORD071</t>
  </si>
  <si>
    <t xml:space="preserve">JESSICA AMIGA DE ERIKA </t>
  </si>
  <si>
    <t xml:space="preserve">ACADEMIA </t>
  </si>
  <si>
    <t>BELLAVISTA</t>
  </si>
  <si>
    <t>CARDENAS DAVILA RODOLFO</t>
  </si>
  <si>
    <t>TUANAMA MARGARITA</t>
  </si>
  <si>
    <t xml:space="preserve">HERCULES </t>
  </si>
  <si>
    <t xml:space="preserve">ERIKA </t>
  </si>
  <si>
    <t xml:space="preserve">CARLOS </t>
  </si>
  <si>
    <t xml:space="preserve">GUIPSON </t>
  </si>
  <si>
    <t xml:space="preserve">ESTELA MOZOMBITE </t>
  </si>
  <si>
    <t xml:space="preserve">MAGALI </t>
  </si>
  <si>
    <t xml:space="preserve">MARIANA </t>
  </si>
  <si>
    <t xml:space="preserve">ENARTE CORAL </t>
  </si>
  <si>
    <t xml:space="preserve">ESTEBAN CAMPOS </t>
  </si>
  <si>
    <t xml:space="preserve">JUSTINA CULQUI </t>
  </si>
  <si>
    <t xml:space="preserve">RUBER VASQUEZ </t>
  </si>
  <si>
    <t>RODOLFO</t>
  </si>
  <si>
    <t>MARIA ANGELINA</t>
  </si>
  <si>
    <t>MILENA</t>
  </si>
  <si>
    <t>LEONOR</t>
  </si>
  <si>
    <t xml:space="preserve">NICOLAS </t>
  </si>
  <si>
    <t>MARLENI</t>
  </si>
  <si>
    <t xml:space="preserve">ROYER </t>
  </si>
  <si>
    <t>LILA FLOR</t>
  </si>
  <si>
    <t xml:space="preserve">DORIS </t>
  </si>
  <si>
    <t xml:space="preserve">SHESHIRA </t>
  </si>
  <si>
    <t>NIEVES</t>
  </si>
  <si>
    <t>JACINTA NENA</t>
  </si>
  <si>
    <t xml:space="preserve">JAIME </t>
  </si>
  <si>
    <t xml:space="preserve">MARIXA </t>
  </si>
  <si>
    <t xml:space="preserve">PAJARILLO </t>
  </si>
  <si>
    <t xml:space="preserve">MARIA ISABEL </t>
  </si>
  <si>
    <t xml:space="preserve">LIVIS GUERRA </t>
  </si>
  <si>
    <t xml:space="preserve">ESMERALDA PIMENTEL </t>
  </si>
  <si>
    <t xml:space="preserve">LA VICTORIA </t>
  </si>
  <si>
    <t xml:space="preserve">LIZ </t>
  </si>
  <si>
    <t>EDISA CAMPOS</t>
  </si>
  <si>
    <t xml:space="preserve">REILI ALEXANDRA </t>
  </si>
  <si>
    <t xml:space="preserve">SAN JUAN </t>
  </si>
  <si>
    <t xml:space="preserve">MIRTHA CHUI </t>
  </si>
  <si>
    <t xml:space="preserve">PEDRO FLORES </t>
  </si>
  <si>
    <t xml:space="preserve">CASTILLO </t>
  </si>
  <si>
    <t xml:space="preserve">JUANJUICILLO </t>
  </si>
  <si>
    <t xml:space="preserve">PEDRO CORDOVA </t>
  </si>
  <si>
    <t>PUERTO CANGREJO</t>
  </si>
  <si>
    <t xml:space="preserve">DAVID PARDO </t>
  </si>
  <si>
    <t>EDUARDO</t>
  </si>
  <si>
    <t xml:space="preserve">ISABEL CAMPOS </t>
  </si>
  <si>
    <t xml:space="preserve">BAR LA PREVIA </t>
  </si>
  <si>
    <t>SULLY</t>
  </si>
  <si>
    <t xml:space="preserve">COMERCIAL BARCO </t>
  </si>
  <si>
    <t xml:space="preserve">CIDELIT AMAZIFUEN </t>
  </si>
  <si>
    <t xml:space="preserve">LOTY </t>
  </si>
  <si>
    <t xml:space="preserve">LUIS SAUCEDO </t>
  </si>
  <si>
    <t xml:space="preserve">JUANJUI </t>
  </si>
  <si>
    <t>ORD072</t>
  </si>
  <si>
    <t xml:space="preserve">LEDOY </t>
  </si>
  <si>
    <t xml:space="preserve">VIVERES </t>
  </si>
  <si>
    <t xml:space="preserve">SOLEDAD </t>
  </si>
  <si>
    <t xml:space="preserve">COSTA RICA </t>
  </si>
  <si>
    <t xml:space="preserve">JEYSI </t>
  </si>
  <si>
    <t>ORD073</t>
  </si>
  <si>
    <t>ORD074</t>
  </si>
  <si>
    <t>ORD075</t>
  </si>
  <si>
    <t xml:space="preserve">MUYUNA BEACH </t>
  </si>
  <si>
    <t xml:space="preserve">SULEMA </t>
  </si>
  <si>
    <t>ORD076</t>
  </si>
  <si>
    <t xml:space="preserve">GINNER FLORES </t>
  </si>
  <si>
    <t xml:space="preserve">JAIR </t>
  </si>
  <si>
    <t>GUILLERMO</t>
  </si>
  <si>
    <t xml:space="preserve">ROSMARI SAAVEDRA </t>
  </si>
  <si>
    <t xml:space="preserve">FABIOLA PINEDO </t>
  </si>
  <si>
    <t xml:space="preserve">MARIA AGUILAR </t>
  </si>
  <si>
    <t xml:space="preserve">VALPARAISO </t>
  </si>
  <si>
    <t xml:space="preserve">LILIANA TUANAMA </t>
  </si>
  <si>
    <t xml:space="preserve">LEIDY HOJANAMA </t>
  </si>
  <si>
    <t xml:space="preserve">ISELA USHIÑAHUA </t>
  </si>
  <si>
    <t>CARLOS MELENDEZ</t>
  </si>
  <si>
    <t>MARIA PIZANGO</t>
  </si>
  <si>
    <t>BERTILDA</t>
  </si>
  <si>
    <t xml:space="preserve">YARI VELA </t>
  </si>
  <si>
    <t xml:space="preserve">TULA </t>
  </si>
  <si>
    <t xml:space="preserve">ERICK BODEGA TAVIN </t>
  </si>
  <si>
    <t xml:space="preserve">BODEGA CHAPATIN </t>
  </si>
  <si>
    <t xml:space="preserve">Delina Pereira Cardenas </t>
  </si>
  <si>
    <t xml:space="preserve">Bar casa blanca </t>
  </si>
  <si>
    <t>ORD0037</t>
  </si>
  <si>
    <t>ORD0038</t>
  </si>
  <si>
    <t xml:space="preserve">Shima </t>
  </si>
  <si>
    <t xml:space="preserve">Yacusisa </t>
  </si>
  <si>
    <t xml:space="preserve">Dalila Rios </t>
  </si>
  <si>
    <t xml:space="preserve">Castillo </t>
  </si>
  <si>
    <t xml:space="preserve">Kelita </t>
  </si>
  <si>
    <t xml:space="preserve">Mauro </t>
  </si>
  <si>
    <t>ORD0039</t>
  </si>
  <si>
    <t>ORD0040</t>
  </si>
  <si>
    <t>ORD0041</t>
  </si>
  <si>
    <t>ORD0042</t>
  </si>
  <si>
    <t xml:space="preserve">HEMMLES </t>
  </si>
  <si>
    <t xml:space="preserve">YESSENIA 3ER PISO </t>
  </si>
  <si>
    <t>ORD077</t>
  </si>
  <si>
    <t>ORD078</t>
  </si>
  <si>
    <t>LIZ PIZARRO 41</t>
  </si>
  <si>
    <t xml:space="preserve">ELIZABETH POZITO </t>
  </si>
  <si>
    <t xml:space="preserve">TATIANA CARDENAS </t>
  </si>
  <si>
    <t>DOS UNIDOS</t>
  </si>
  <si>
    <t>SAN JOSE DE JUÑAO</t>
  </si>
  <si>
    <t xml:space="preserve">VERONICA </t>
  </si>
  <si>
    <t>LOS JARDINES</t>
  </si>
  <si>
    <t>ORD079</t>
  </si>
  <si>
    <t>ORD080</t>
  </si>
  <si>
    <t>GUERRERPO</t>
  </si>
  <si>
    <t>NORMA IZUISA</t>
  </si>
  <si>
    <t xml:space="preserve">MARIA JERMET </t>
  </si>
  <si>
    <t>MARIA JOSEFINA</t>
  </si>
  <si>
    <t xml:space="preserve">TERCERO RENGIFO </t>
  </si>
  <si>
    <t xml:space="preserve">Juan Rengifo </t>
  </si>
  <si>
    <t xml:space="preserve">Distribuidora Nachi </t>
  </si>
  <si>
    <t xml:space="preserve">Andy </t>
  </si>
  <si>
    <t xml:space="preserve">lidia </t>
  </si>
  <si>
    <t>ORD0043</t>
  </si>
  <si>
    <t>ORD0044</t>
  </si>
  <si>
    <t>ORD0045</t>
  </si>
  <si>
    <t>ORD0046</t>
  </si>
  <si>
    <t>ORD0047</t>
  </si>
  <si>
    <t>Alfonso Fasabi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</si>
</sst>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S/&quot;\ #,##0.00;[Red]\-&quot;S/&quot;\ #,##0.00"/>
    <numFmt numFmtId="164" formatCode="d/m/yyyy;@"/>
    <numFmt numFmtId="165" formatCode="m/d/yyyy"/>
    <numFmt numFmtId="166" formatCode="#,##0.000000"/>
  </numFmts>
  <fonts count="12" x14ac:knownFonts="1">
    <font>
      <sz val="12"/>
      <color indexed="8"/>
      <name val="Calibri"/>
      <family val="2"/>
    </font>
    <font>
      <b/>
      <sz val="14"/>
      <color indexed="62"/>
      <name val="Calibri"/>
      <family val="2"/>
    </font>
    <font>
      <b/>
      <sz val="15"/>
      <color indexed="62"/>
      <name val="Calibri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10"/>
      <color rgb="FF5E5E5E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b/>
      <sz val="50"/>
      <color indexed="8"/>
      <name val="Calibri"/>
      <family val="2"/>
    </font>
    <font>
      <b/>
      <sz val="12"/>
      <color indexed="8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49"/>
      </bottom>
      <diagonal/>
    </border>
  </borders>
  <cellStyleXfs count="2">
    <xf numFmtId="0" fontId="0" fillId="0" borderId="0"/>
    <xf numFmtId="0" fontId="2" fillId="0" borderId="1"/>
  </cellStyleXfs>
  <cellXfs count="39">
    <xf numFmtId="0" fontId="0" fillId="0" borderId="0" xfId="0"/>
    <xf numFmtId="0" fontId="1" fillId="0" borderId="1" xfId="1" applyFont="1"/>
    <xf numFmtId="164" fontId="1" fillId="0" borderId="1" xfId="1" applyNumberFormat="1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6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/>
    <xf numFmtId="0" fontId="4" fillId="0" borderId="0" xfId="0" applyFont="1" applyAlignment="1"/>
    <xf numFmtId="165" fontId="0" fillId="0" borderId="0" xfId="0" applyNumberFormat="1" applyAlignment="1"/>
    <xf numFmtId="0" fontId="0" fillId="0" borderId="0" xfId="0" applyFont="1" applyAlignment="1"/>
    <xf numFmtId="0" fontId="7" fillId="0" borderId="0" xfId="0" applyFont="1" applyAlignment="1"/>
    <xf numFmtId="0" fontId="7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/>
    <xf numFmtId="0" fontId="0" fillId="0" borderId="0" xfId="0" applyFill="1"/>
    <xf numFmtId="0" fontId="10" fillId="0" borderId="0" xfId="0" applyFont="1" applyFill="1"/>
    <xf numFmtId="0" fontId="8" fillId="0" borderId="0" xfId="0" applyFont="1" applyAlignment="1">
      <alignment vertical="center"/>
    </xf>
    <xf numFmtId="0" fontId="0" fillId="0" borderId="0" xfId="0" applyFont="1" applyFill="1" applyAlignment="1"/>
    <xf numFmtId="0" fontId="7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 wrapText="1" indent="1"/>
    </xf>
    <xf numFmtId="0" fontId="7" fillId="0" borderId="0" xfId="0" applyFont="1" applyFill="1" applyAlignment="1"/>
    <xf numFmtId="0" fontId="0" fillId="0" borderId="0" xfId="0" applyFont="1" applyFill="1"/>
    <xf numFmtId="8" fontId="7" fillId="0" borderId="0" xfId="0" applyNumberFormat="1" applyFont="1" applyFill="1" applyAlignment="1">
      <alignment horizontal="right" vertical="center" wrapText="1"/>
    </xf>
    <xf numFmtId="0" fontId="7" fillId="0" borderId="0" xfId="0" applyFont="1" applyFill="1" applyAlignment="1">
      <alignment vertical="center" wrapText="1"/>
    </xf>
    <xf numFmtId="8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vertical="center"/>
    </xf>
    <xf numFmtId="8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 wrapText="1"/>
    </xf>
    <xf numFmtId="0" fontId="0" fillId="0" borderId="0" xfId="0" applyFont="1"/>
    <xf numFmtId="165" fontId="0" fillId="0" borderId="0" xfId="0" applyNumberFormat="1" applyFont="1" applyAlignment="1"/>
    <xf numFmtId="0" fontId="1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Fill="1" applyAlignment="1">
      <alignment wrapText="1"/>
    </xf>
    <xf numFmtId="0" fontId="9" fillId="0" borderId="0" xfId="0" applyFont="1" applyAlignment="1">
      <alignment horizontal="center" vertical="center"/>
    </xf>
  </cellXfs>
  <cellStyles count="2">
    <cellStyle name="Excel_BuiltIn_Heading 1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4"/>
  </sheetPr>
  <dimension ref="A1:Q81"/>
  <sheetViews>
    <sheetView tabSelected="1" topLeftCell="A13" zoomScale="70" zoomScaleNormal="70" workbookViewId="0">
      <selection activeCell="J65" sqref="J65"/>
    </sheetView>
  </sheetViews>
  <sheetFormatPr baseColWidth="10" defaultColWidth="11.19921875" defaultRowHeight="15.6" x14ac:dyDescent="0.3"/>
  <cols>
    <col min="1" max="1" width="14" bestFit="1" customWidth="1"/>
    <col min="2" max="2" width="8.5" bestFit="1" customWidth="1"/>
    <col min="3" max="3" width="19.8984375" customWidth="1"/>
    <col min="4" max="4" width="15.19921875" customWidth="1"/>
    <col min="5" max="5" width="29" customWidth="1"/>
    <col min="6" max="7" width="11" customWidth="1"/>
    <col min="8" max="8" width="24.09765625" customWidth="1"/>
  </cols>
  <sheetData>
    <row r="1" spans="1:17" ht="19.95" customHeight="1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132</v>
      </c>
      <c r="O1" s="19"/>
      <c r="P1" s="19"/>
      <c r="Q1" s="19"/>
    </row>
    <row r="2" spans="1:17" ht="16.2" customHeight="1" thickTop="1" x14ac:dyDescent="0.3">
      <c r="A2" s="8" t="s">
        <v>8</v>
      </c>
      <c r="C2" s="8" t="s">
        <v>254</v>
      </c>
      <c r="E2" s="8" t="s">
        <v>255</v>
      </c>
      <c r="F2" s="9">
        <v>-6.9563009999999998</v>
      </c>
      <c r="G2" s="9">
        <v>-76.420810000000003</v>
      </c>
      <c r="H2" s="8"/>
      <c r="O2" s="15"/>
      <c r="P2" s="15"/>
      <c r="Q2" s="15"/>
    </row>
    <row r="3" spans="1:17" ht="15" customHeight="1" x14ac:dyDescent="0.3">
      <c r="A3" s="8" t="s">
        <v>42</v>
      </c>
      <c r="B3" s="8"/>
      <c r="C3" s="8" t="s">
        <v>87</v>
      </c>
      <c r="D3" s="8"/>
      <c r="E3" s="8" t="s">
        <v>36</v>
      </c>
      <c r="F3" s="9">
        <v>-7.0029310000000002</v>
      </c>
      <c r="G3" s="9">
        <v>-76.440634000000003</v>
      </c>
      <c r="O3" s="15"/>
      <c r="P3" s="15"/>
      <c r="Q3" s="15"/>
    </row>
    <row r="4" spans="1:17" ht="15" customHeight="1" x14ac:dyDescent="0.3">
      <c r="A4" s="8" t="s">
        <v>43</v>
      </c>
      <c r="B4" s="8"/>
      <c r="C4" s="8" t="s">
        <v>87</v>
      </c>
      <c r="D4" s="8"/>
      <c r="E4" s="8" t="s">
        <v>38</v>
      </c>
      <c r="F4" s="9">
        <v>-7.001646</v>
      </c>
      <c r="G4" s="9">
        <v>-76.441391999999993</v>
      </c>
      <c r="O4" s="14"/>
      <c r="P4" s="14"/>
      <c r="Q4" s="14"/>
    </row>
    <row r="5" spans="1:17" ht="15" customHeight="1" x14ac:dyDescent="0.3">
      <c r="A5" s="8" t="s">
        <v>44</v>
      </c>
      <c r="B5" s="8"/>
      <c r="C5" s="8" t="s">
        <v>41</v>
      </c>
      <c r="D5" s="8"/>
      <c r="E5" s="8" t="s">
        <v>98</v>
      </c>
      <c r="F5" s="8">
        <v>-7.0665339999999999</v>
      </c>
      <c r="G5" s="8">
        <v>-76.590632999999997</v>
      </c>
      <c r="O5" s="15"/>
      <c r="P5" s="15"/>
      <c r="Q5" s="15"/>
    </row>
    <row r="6" spans="1:17" ht="15" customHeight="1" x14ac:dyDescent="0.3">
      <c r="A6" s="8" t="s">
        <v>90</v>
      </c>
      <c r="C6" s="8" t="s">
        <v>41</v>
      </c>
      <c r="E6" s="8" t="s">
        <v>232</v>
      </c>
      <c r="F6" s="9">
        <v>-7.0673219999999999</v>
      </c>
      <c r="G6" s="9">
        <v>-76.587076999999994</v>
      </c>
      <c r="O6" s="14"/>
      <c r="P6" s="14"/>
      <c r="Q6" s="14"/>
    </row>
    <row r="7" spans="1:17" ht="15" customHeight="1" x14ac:dyDescent="0.3">
      <c r="A7" s="8" t="s">
        <v>45</v>
      </c>
      <c r="C7" s="8" t="s">
        <v>41</v>
      </c>
      <c r="E7" s="8" t="s">
        <v>344</v>
      </c>
      <c r="F7" s="9">
        <v>-7.0651849999999996</v>
      </c>
      <c r="G7">
        <v>-76.582689999999999</v>
      </c>
      <c r="O7" s="14"/>
      <c r="P7" s="14"/>
      <c r="Q7" s="14"/>
    </row>
    <row r="8" spans="1:17" ht="15" customHeight="1" x14ac:dyDescent="0.3">
      <c r="A8" s="8" t="s">
        <v>46</v>
      </c>
      <c r="B8" s="8"/>
      <c r="C8" s="8" t="s">
        <v>41</v>
      </c>
      <c r="D8" s="8"/>
      <c r="E8" s="8" t="s">
        <v>9</v>
      </c>
      <c r="F8" s="5">
        <v>-7.0648200000000001</v>
      </c>
      <c r="G8" s="9">
        <f>-76.58571</f>
        <v>-76.585710000000006</v>
      </c>
      <c r="O8" s="15"/>
      <c r="P8" s="15"/>
      <c r="Q8" s="15"/>
    </row>
    <row r="9" spans="1:17" ht="15" customHeight="1" x14ac:dyDescent="0.3">
      <c r="A9" s="8" t="s">
        <v>47</v>
      </c>
      <c r="B9" s="8"/>
      <c r="C9" s="8" t="s">
        <v>87</v>
      </c>
      <c r="D9" s="8"/>
      <c r="E9" s="8" t="s">
        <v>39</v>
      </c>
      <c r="F9" s="9">
        <v>-7.0048830000000004</v>
      </c>
      <c r="G9" s="9">
        <v>-76.438484000000003</v>
      </c>
      <c r="O9" s="15"/>
      <c r="P9" s="15"/>
      <c r="Q9" s="15"/>
    </row>
    <row r="10" spans="1:17" ht="16.2" customHeight="1" x14ac:dyDescent="0.3">
      <c r="A10" s="8" t="s">
        <v>48</v>
      </c>
      <c r="B10" s="10"/>
      <c r="C10" s="8" t="s">
        <v>41</v>
      </c>
      <c r="D10" s="8"/>
      <c r="E10" s="8" t="s">
        <v>106</v>
      </c>
      <c r="F10" s="4">
        <v>-7.0655599999999996</v>
      </c>
      <c r="G10" s="5">
        <v>-76.582310000000007</v>
      </c>
      <c r="O10" s="14"/>
      <c r="P10" s="14"/>
      <c r="Q10" s="14"/>
    </row>
    <row r="11" spans="1:17" ht="15.6" customHeight="1" x14ac:dyDescent="0.3">
      <c r="A11" s="8" t="s">
        <v>49</v>
      </c>
      <c r="C11" s="8" t="s">
        <v>85</v>
      </c>
      <c r="E11" s="8" t="s">
        <v>337</v>
      </c>
      <c r="F11" s="9">
        <v>-7.0248179999999998</v>
      </c>
      <c r="G11" s="9">
        <v>-76.464552999999995</v>
      </c>
      <c r="O11" s="15"/>
      <c r="P11" s="15"/>
      <c r="Q11" s="15"/>
    </row>
    <row r="12" spans="1:17" ht="15.6" customHeight="1" x14ac:dyDescent="0.3">
      <c r="A12" s="8" t="s">
        <v>50</v>
      </c>
      <c r="B12" s="8"/>
      <c r="C12" s="8" t="s">
        <v>41</v>
      </c>
      <c r="D12" s="8"/>
      <c r="E12" s="8" t="s">
        <v>17</v>
      </c>
      <c r="F12" s="9">
        <v>-7.066573</v>
      </c>
      <c r="G12" s="9">
        <v>-76.588851000000005</v>
      </c>
      <c r="O12" s="15"/>
      <c r="P12" s="15"/>
      <c r="Q12" s="15"/>
    </row>
    <row r="13" spans="1:17" ht="15.6" customHeight="1" x14ac:dyDescent="0.3">
      <c r="A13" s="8" t="s">
        <v>51</v>
      </c>
      <c r="B13" s="8"/>
      <c r="C13" s="8" t="s">
        <v>86</v>
      </c>
      <c r="D13" s="8"/>
      <c r="E13" s="8" t="s">
        <v>91</v>
      </c>
      <c r="F13" s="9">
        <v>-7.031758</v>
      </c>
      <c r="G13" s="9">
        <f>-76.473358</f>
        <v>-76.473358000000005</v>
      </c>
      <c r="O13" s="15"/>
      <c r="P13" s="15"/>
      <c r="Q13" s="15"/>
    </row>
    <row r="14" spans="1:17" ht="15.6" customHeight="1" x14ac:dyDescent="0.3">
      <c r="A14" s="8" t="s">
        <v>52</v>
      </c>
      <c r="C14" s="8" t="s">
        <v>102</v>
      </c>
      <c r="E14" s="8" t="s">
        <v>330</v>
      </c>
      <c r="F14" s="9">
        <v>-7.0534319999999999</v>
      </c>
      <c r="G14">
        <f>-76.569021</f>
        <v>-76.569021000000006</v>
      </c>
      <c r="O14" s="15"/>
      <c r="P14" s="15"/>
      <c r="Q14" s="15"/>
    </row>
    <row r="15" spans="1:17" ht="15.6" customHeight="1" x14ac:dyDescent="0.3">
      <c r="A15" s="8" t="s">
        <v>53</v>
      </c>
      <c r="B15" s="8"/>
      <c r="C15" s="8" t="s">
        <v>41</v>
      </c>
      <c r="D15" s="8"/>
      <c r="E15" s="8" t="s">
        <v>101</v>
      </c>
      <c r="F15" s="9">
        <v>-7.0580679999999996</v>
      </c>
      <c r="G15" s="9">
        <v>-76.589211000000006</v>
      </c>
      <c r="O15" s="15"/>
      <c r="P15" s="15"/>
      <c r="Q15" s="15"/>
    </row>
    <row r="16" spans="1:17" x14ac:dyDescent="0.3">
      <c r="A16" s="8" t="s">
        <v>54</v>
      </c>
      <c r="B16" s="8"/>
      <c r="C16" s="8" t="s">
        <v>85</v>
      </c>
      <c r="D16" s="8"/>
      <c r="E16" s="8" t="s">
        <v>26</v>
      </c>
      <c r="F16" s="9">
        <v>-7.0242909999999998</v>
      </c>
      <c r="G16" s="9">
        <f>-76.465674</f>
        <v>-76.465674000000007</v>
      </c>
      <c r="O16" s="15"/>
      <c r="P16" s="15"/>
      <c r="Q16" s="15"/>
    </row>
    <row r="17" spans="1:17" ht="15.6" customHeight="1" x14ac:dyDescent="0.3">
      <c r="A17" s="8" t="s">
        <v>55</v>
      </c>
      <c r="B17" s="8"/>
      <c r="C17" s="8" t="s">
        <v>84</v>
      </c>
      <c r="D17" s="8"/>
      <c r="E17" s="8" t="s">
        <v>24</v>
      </c>
      <c r="F17" s="9">
        <v>-7.0374059999999998</v>
      </c>
      <c r="G17" s="9">
        <f>-76.494114</f>
        <v>-76.494113999999996</v>
      </c>
      <c r="O17" s="19"/>
      <c r="P17" s="19"/>
      <c r="Q17" s="19"/>
    </row>
    <row r="18" spans="1:17" ht="15.6" customHeight="1" x14ac:dyDescent="0.3">
      <c r="A18" s="8" t="s">
        <v>56</v>
      </c>
      <c r="C18" s="8" t="s">
        <v>87</v>
      </c>
      <c r="E18" s="8" t="s">
        <v>246</v>
      </c>
      <c r="F18" s="9">
        <v>-7.011253</v>
      </c>
      <c r="G18" s="9">
        <v>-76.459703000000005</v>
      </c>
      <c r="H18" s="8"/>
      <c r="O18" s="14"/>
      <c r="P18" s="14"/>
      <c r="Q18" s="14"/>
    </row>
    <row r="19" spans="1:17" ht="15.6" customHeight="1" x14ac:dyDescent="0.3">
      <c r="A19" s="8" t="s">
        <v>57</v>
      </c>
      <c r="C19" s="8" t="s">
        <v>41</v>
      </c>
      <c r="E19" s="8" t="s">
        <v>238</v>
      </c>
      <c r="F19" s="9">
        <v>-7.0544799999999999</v>
      </c>
      <c r="G19" s="9">
        <v>-76.584220000000002</v>
      </c>
      <c r="H19" s="8"/>
      <c r="O19" s="14"/>
      <c r="P19" s="14"/>
      <c r="Q19" s="14"/>
    </row>
    <row r="20" spans="1:17" ht="15.6" customHeight="1" x14ac:dyDescent="0.3">
      <c r="A20" s="8" t="s">
        <v>58</v>
      </c>
      <c r="B20" s="8"/>
      <c r="C20" s="8" t="s">
        <v>87</v>
      </c>
      <c r="D20" s="8"/>
      <c r="E20" s="8" t="s">
        <v>35</v>
      </c>
      <c r="F20" s="9">
        <v>-7.0039559999999996</v>
      </c>
      <c r="G20" s="9">
        <v>-76.438609</v>
      </c>
      <c r="O20" s="15"/>
      <c r="P20" s="15"/>
      <c r="Q20" s="15"/>
    </row>
    <row r="21" spans="1:17" ht="15.6" customHeight="1" x14ac:dyDescent="0.3">
      <c r="A21" s="8" t="s">
        <v>59</v>
      </c>
      <c r="B21" s="8"/>
      <c r="C21" s="8" t="s">
        <v>86</v>
      </c>
      <c r="D21" s="8"/>
      <c r="E21" s="8" t="s">
        <v>34</v>
      </c>
      <c r="F21" s="9">
        <v>-7.0313629999999998</v>
      </c>
      <c r="G21" s="9">
        <v>-76.476313000000005</v>
      </c>
      <c r="O21" s="14"/>
      <c r="P21" s="14"/>
      <c r="Q21" s="14"/>
    </row>
    <row r="22" spans="1:17" ht="15.6" customHeight="1" x14ac:dyDescent="0.3">
      <c r="A22" s="8" t="s">
        <v>60</v>
      </c>
      <c r="B22" s="8"/>
      <c r="C22" s="8" t="s">
        <v>88</v>
      </c>
      <c r="D22" s="8"/>
      <c r="E22" s="8" t="s">
        <v>248</v>
      </c>
      <c r="F22" s="9">
        <v>-6.9921030000000002</v>
      </c>
      <c r="G22" s="9">
        <v>-76.418066999999994</v>
      </c>
      <c r="H22" s="8"/>
      <c r="O22" s="14"/>
      <c r="P22" s="14"/>
      <c r="Q22" s="14"/>
    </row>
    <row r="23" spans="1:17" x14ac:dyDescent="0.3">
      <c r="A23" s="8" t="s">
        <v>61</v>
      </c>
      <c r="B23" s="8"/>
      <c r="C23" s="8" t="s">
        <v>86</v>
      </c>
      <c r="D23" s="8"/>
      <c r="E23" s="8" t="s">
        <v>241</v>
      </c>
      <c r="F23" s="9">
        <v>-7.0309169999999996</v>
      </c>
      <c r="G23" s="9">
        <v>-76.468440000000001</v>
      </c>
      <c r="H23" s="8"/>
    </row>
    <row r="24" spans="1:17" x14ac:dyDescent="0.3">
      <c r="A24" s="8" t="s">
        <v>62</v>
      </c>
      <c r="B24" s="8"/>
      <c r="C24" s="8" t="s">
        <v>86</v>
      </c>
      <c r="D24" s="8"/>
      <c r="E24" s="8" t="s">
        <v>30</v>
      </c>
      <c r="F24" s="9">
        <v>-7.0318959999999997</v>
      </c>
      <c r="G24" s="9">
        <v>-76.471834999999999</v>
      </c>
      <c r="O24" s="38"/>
      <c r="P24" s="38"/>
      <c r="Q24" s="38"/>
    </row>
    <row r="25" spans="1:17" x14ac:dyDescent="0.3">
      <c r="A25" s="8" t="s">
        <v>63</v>
      </c>
      <c r="B25" s="8"/>
      <c r="C25" s="8" t="s">
        <v>85</v>
      </c>
      <c r="D25" s="8"/>
      <c r="E25" s="8" t="s">
        <v>103</v>
      </c>
      <c r="F25" s="8">
        <v>-7.0250839999999997</v>
      </c>
      <c r="G25" s="8">
        <v>-76.462751999999995</v>
      </c>
      <c r="O25" s="38"/>
      <c r="P25" s="38"/>
      <c r="Q25" s="38"/>
    </row>
    <row r="26" spans="1:17" x14ac:dyDescent="0.3">
      <c r="A26" s="8" t="s">
        <v>64</v>
      </c>
      <c r="B26" s="8"/>
      <c r="C26" s="8" t="s">
        <v>41</v>
      </c>
      <c r="D26" s="8"/>
      <c r="E26" s="8" t="s">
        <v>12</v>
      </c>
      <c r="F26" s="9">
        <v>-7.0665649999999998</v>
      </c>
      <c r="G26" s="9">
        <v>-76.592146</v>
      </c>
    </row>
    <row r="27" spans="1:17" x14ac:dyDescent="0.3">
      <c r="A27" s="8" t="s">
        <v>65</v>
      </c>
      <c r="C27" s="8" t="s">
        <v>41</v>
      </c>
      <c r="E27" s="8" t="s">
        <v>339</v>
      </c>
      <c r="F27" s="9">
        <v>-7.0653959999999998</v>
      </c>
      <c r="G27">
        <v>-76.585620000000006</v>
      </c>
    </row>
    <row r="28" spans="1:17" x14ac:dyDescent="0.3">
      <c r="A28" s="8" t="s">
        <v>66</v>
      </c>
      <c r="C28" s="8" t="s">
        <v>254</v>
      </c>
      <c r="E28" s="8" t="s">
        <v>256</v>
      </c>
      <c r="F28" s="9">
        <v>-6.9566499999999998</v>
      </c>
      <c r="G28" s="9">
        <v>-76.421130000000005</v>
      </c>
      <c r="H28" s="8"/>
    </row>
    <row r="29" spans="1:17" x14ac:dyDescent="0.3">
      <c r="A29" s="8" t="s">
        <v>67</v>
      </c>
      <c r="B29" s="8"/>
      <c r="C29" s="8" t="s">
        <v>84</v>
      </c>
      <c r="D29" s="8"/>
      <c r="E29" s="8" t="s">
        <v>25</v>
      </c>
      <c r="F29" s="9">
        <v>-7.0364630000000004</v>
      </c>
      <c r="G29" s="9">
        <v>-76.494552999999996</v>
      </c>
    </row>
    <row r="30" spans="1:17" x14ac:dyDescent="0.3">
      <c r="A30" s="8" t="s">
        <v>68</v>
      </c>
      <c r="C30" s="8" t="s">
        <v>83</v>
      </c>
      <c r="E30" s="8" t="s">
        <v>239</v>
      </c>
      <c r="F30" s="9">
        <v>-7.0532820000000003</v>
      </c>
      <c r="G30" s="9">
        <v>-76.544461999999996</v>
      </c>
      <c r="H30" s="8"/>
    </row>
    <row r="31" spans="1:17" x14ac:dyDescent="0.3">
      <c r="A31" s="8" t="s">
        <v>69</v>
      </c>
      <c r="B31" s="8"/>
      <c r="C31" s="8" t="s">
        <v>86</v>
      </c>
      <c r="D31" s="8"/>
      <c r="E31" s="8" t="s">
        <v>31</v>
      </c>
      <c r="F31" s="9">
        <v>-7.0320289999999996</v>
      </c>
      <c r="G31" s="9">
        <v>-76.469623999999996</v>
      </c>
    </row>
    <row r="32" spans="1:17" x14ac:dyDescent="0.3">
      <c r="A32" s="8" t="s">
        <v>70</v>
      </c>
      <c r="B32" s="8"/>
      <c r="C32" s="8" t="s">
        <v>102</v>
      </c>
      <c r="D32" s="8"/>
      <c r="E32" s="8" t="s">
        <v>18</v>
      </c>
      <c r="F32" s="9">
        <v>-7.053388</v>
      </c>
      <c r="G32" s="9">
        <f>-76.570671</f>
        <v>-76.570671000000004</v>
      </c>
    </row>
    <row r="33" spans="1:8" x14ac:dyDescent="0.3">
      <c r="A33" s="8" t="s">
        <v>71</v>
      </c>
      <c r="C33" s="8" t="s">
        <v>41</v>
      </c>
      <c r="E33" s="8" t="s">
        <v>231</v>
      </c>
      <c r="F33" s="9">
        <v>-7.0664999999999996</v>
      </c>
      <c r="G33" s="9">
        <v>-76.588460999999995</v>
      </c>
    </row>
    <row r="34" spans="1:8" x14ac:dyDescent="0.3">
      <c r="A34" s="8" t="s">
        <v>72</v>
      </c>
      <c r="B34" s="8"/>
      <c r="C34" s="8" t="s">
        <v>86</v>
      </c>
      <c r="D34" s="8"/>
      <c r="E34" s="8" t="s">
        <v>32</v>
      </c>
      <c r="F34" s="9">
        <v>-7.0308640000000002</v>
      </c>
      <c r="G34" s="9">
        <v>-76.471103999999997</v>
      </c>
    </row>
    <row r="35" spans="1:8" x14ac:dyDescent="0.3">
      <c r="A35" s="8" t="s">
        <v>73</v>
      </c>
      <c r="B35" s="8"/>
      <c r="C35" s="8" t="s">
        <v>102</v>
      </c>
      <c r="D35" s="8"/>
      <c r="E35" s="8" t="s">
        <v>19</v>
      </c>
      <c r="F35" s="9">
        <v>-7.0534309999999998</v>
      </c>
      <c r="G35" s="9">
        <v>-76.569190000000006</v>
      </c>
    </row>
    <row r="36" spans="1:8" s="8" customFormat="1" x14ac:dyDescent="0.3">
      <c r="A36" s="8" t="s">
        <v>74</v>
      </c>
      <c r="C36" s="8" t="s">
        <v>86</v>
      </c>
      <c r="E36" s="8" t="s">
        <v>33</v>
      </c>
      <c r="F36" s="9">
        <v>-7.0326639999999996</v>
      </c>
      <c r="G36" s="9">
        <f>-76.473307</f>
        <v>-76.473307000000005</v>
      </c>
      <c r="H36"/>
    </row>
    <row r="37" spans="1:8" x14ac:dyDescent="0.3">
      <c r="A37" s="8" t="s">
        <v>75</v>
      </c>
      <c r="B37" s="8"/>
      <c r="C37" s="8" t="s">
        <v>41</v>
      </c>
      <c r="D37" s="8"/>
      <c r="E37" s="8" t="s">
        <v>16</v>
      </c>
      <c r="F37" s="9">
        <v>-7.0674000000000001</v>
      </c>
      <c r="G37" s="9">
        <v>-76.596903999999995</v>
      </c>
    </row>
    <row r="38" spans="1:8" x14ac:dyDescent="0.3">
      <c r="A38" s="8" t="s">
        <v>76</v>
      </c>
      <c r="B38" s="8"/>
      <c r="C38" s="8" t="s">
        <v>102</v>
      </c>
      <c r="D38" s="8"/>
      <c r="E38" s="8" t="s">
        <v>20</v>
      </c>
      <c r="F38" s="9">
        <v>-7.0541159999999996</v>
      </c>
      <c r="G38" s="9">
        <v>-76.571304999999995</v>
      </c>
    </row>
    <row r="39" spans="1:8" x14ac:dyDescent="0.3">
      <c r="A39" s="8" t="s">
        <v>77</v>
      </c>
      <c r="B39" s="8"/>
      <c r="C39" s="8" t="s">
        <v>102</v>
      </c>
      <c r="D39" s="8"/>
      <c r="E39" s="8" t="s">
        <v>451</v>
      </c>
      <c r="F39" s="9">
        <v>-7.0537140000000003</v>
      </c>
      <c r="G39" s="9">
        <v>-76.571022999999997</v>
      </c>
    </row>
    <row r="40" spans="1:8" x14ac:dyDescent="0.3">
      <c r="A40" s="8" t="s">
        <v>78</v>
      </c>
      <c r="C40" s="8" t="s">
        <v>86</v>
      </c>
      <c r="E40" s="8" t="s">
        <v>331</v>
      </c>
      <c r="F40" s="9">
        <v>-7.0317749999999997</v>
      </c>
      <c r="G40">
        <f>-76.473018</f>
        <v>-76.473017999999996</v>
      </c>
    </row>
    <row r="41" spans="1:8" x14ac:dyDescent="0.3">
      <c r="A41" s="8" t="s">
        <v>79</v>
      </c>
      <c r="C41" s="8" t="s">
        <v>85</v>
      </c>
      <c r="E41" s="16" t="s">
        <v>345</v>
      </c>
      <c r="F41" s="9">
        <v>-7.0181529999999999</v>
      </c>
      <c r="G41">
        <v>-76.460768999999999</v>
      </c>
    </row>
    <row r="42" spans="1:8" x14ac:dyDescent="0.3">
      <c r="A42" s="8" t="s">
        <v>80</v>
      </c>
      <c r="B42" s="8"/>
      <c r="C42" s="8" t="s">
        <v>41</v>
      </c>
      <c r="D42" s="8"/>
      <c r="E42" s="8" t="s">
        <v>14</v>
      </c>
      <c r="F42" s="9">
        <v>-7.0673320000000004</v>
      </c>
      <c r="G42" s="9">
        <v>-76.593908999999996</v>
      </c>
    </row>
    <row r="43" spans="1:8" x14ac:dyDescent="0.3">
      <c r="A43" s="8" t="s">
        <v>81</v>
      </c>
      <c r="B43" s="8"/>
      <c r="C43" s="8" t="s">
        <v>41</v>
      </c>
      <c r="D43" s="8"/>
      <c r="E43" s="8" t="s">
        <v>233</v>
      </c>
      <c r="F43" s="9">
        <v>-7.05619</v>
      </c>
      <c r="G43" s="9">
        <v>-76.585650000000001</v>
      </c>
      <c r="H43" s="8"/>
    </row>
    <row r="44" spans="1:8" x14ac:dyDescent="0.3">
      <c r="A44" s="8" t="s">
        <v>82</v>
      </c>
      <c r="C44" s="8" t="s">
        <v>41</v>
      </c>
      <c r="E44" s="8" t="s">
        <v>328</v>
      </c>
      <c r="F44" s="9">
        <v>-7.0674099999999997</v>
      </c>
      <c r="G44" s="9">
        <v>-76.586399</v>
      </c>
    </row>
    <row r="45" spans="1:8" x14ac:dyDescent="0.3">
      <c r="A45" s="8" t="s">
        <v>227</v>
      </c>
      <c r="B45" s="8"/>
      <c r="C45" s="8" t="s">
        <v>87</v>
      </c>
      <c r="D45" s="8"/>
      <c r="E45" s="8" t="s">
        <v>37</v>
      </c>
      <c r="F45" s="9">
        <v>-7.0027780000000002</v>
      </c>
      <c r="G45" s="8">
        <v>-76.440134</v>
      </c>
    </row>
    <row r="46" spans="1:8" s="8" customFormat="1" x14ac:dyDescent="0.3">
      <c r="A46" s="8" t="s">
        <v>228</v>
      </c>
      <c r="C46" s="8" t="s">
        <v>85</v>
      </c>
      <c r="E46" s="8" t="s">
        <v>28</v>
      </c>
      <c r="F46" s="9">
        <v>-7.0226740000000003</v>
      </c>
      <c r="G46" s="8">
        <v>-76.463376999999994</v>
      </c>
      <c r="H46"/>
    </row>
    <row r="47" spans="1:8" x14ac:dyDescent="0.3">
      <c r="A47" s="8" t="s">
        <v>229</v>
      </c>
      <c r="C47" s="8" t="s">
        <v>41</v>
      </c>
      <c r="E47" s="8" t="s">
        <v>225</v>
      </c>
      <c r="F47" s="9">
        <v>-7.0655469999999996</v>
      </c>
      <c r="G47" s="9">
        <v>-76.594095999999993</v>
      </c>
    </row>
    <row r="48" spans="1:8" x14ac:dyDescent="0.3">
      <c r="A48" s="8" t="s">
        <v>230</v>
      </c>
      <c r="B48" s="8"/>
      <c r="C48" s="8" t="s">
        <v>41</v>
      </c>
      <c r="D48" s="8"/>
      <c r="E48" s="8" t="s">
        <v>11</v>
      </c>
      <c r="F48" s="5">
        <v>-7.0616050000000001</v>
      </c>
      <c r="G48" s="9">
        <v>-76.592489</v>
      </c>
    </row>
    <row r="49" spans="1:8" s="8" customFormat="1" x14ac:dyDescent="0.3">
      <c r="A49" s="8" t="s">
        <v>234</v>
      </c>
      <c r="C49" s="8" t="s">
        <v>41</v>
      </c>
      <c r="E49" s="8" t="s">
        <v>10</v>
      </c>
      <c r="F49" s="5">
        <v>-7.0655010000000003</v>
      </c>
      <c r="G49" s="9">
        <v>-76.593507000000002</v>
      </c>
      <c r="H49"/>
    </row>
    <row r="50" spans="1:8" x14ac:dyDescent="0.3">
      <c r="A50" s="8" t="s">
        <v>235</v>
      </c>
      <c r="B50" s="8"/>
      <c r="C50" s="8" t="s">
        <v>87</v>
      </c>
      <c r="D50" s="8"/>
      <c r="E50" s="8" t="s">
        <v>349</v>
      </c>
      <c r="F50" s="9">
        <v>-6.999549</v>
      </c>
      <c r="G50" s="8">
        <v>-76.442637000000005</v>
      </c>
    </row>
    <row r="51" spans="1:8" x14ac:dyDescent="0.3">
      <c r="A51" s="8" t="s">
        <v>236</v>
      </c>
      <c r="B51" s="8"/>
      <c r="C51" s="8" t="s">
        <v>87</v>
      </c>
      <c r="D51" s="8"/>
      <c r="E51" s="8" t="s">
        <v>104</v>
      </c>
      <c r="F51" s="9">
        <v>-7.0059120000000004</v>
      </c>
      <c r="G51" s="8">
        <v>-76.438591000000002</v>
      </c>
    </row>
    <row r="52" spans="1:8" x14ac:dyDescent="0.3">
      <c r="A52" s="8" t="s">
        <v>237</v>
      </c>
      <c r="B52" s="8"/>
      <c r="C52" s="8" t="s">
        <v>254</v>
      </c>
      <c r="D52" s="8"/>
      <c r="E52" s="8" t="s">
        <v>253</v>
      </c>
      <c r="F52" s="9">
        <v>-6.9575339999999999</v>
      </c>
      <c r="G52" s="9">
        <v>-76.419650000000004</v>
      </c>
      <c r="H52" s="8"/>
    </row>
    <row r="53" spans="1:8" s="8" customFormat="1" x14ac:dyDescent="0.3">
      <c r="A53" s="8" t="s">
        <v>243</v>
      </c>
      <c r="C53" s="8" t="s">
        <v>88</v>
      </c>
      <c r="E53" s="8" t="s">
        <v>40</v>
      </c>
      <c r="F53" s="9">
        <v>-6.9921959999999999</v>
      </c>
      <c r="G53" s="9">
        <v>-76.417530999999997</v>
      </c>
    </row>
    <row r="54" spans="1:8" x14ac:dyDescent="0.3">
      <c r="A54" s="8" t="s">
        <v>244</v>
      </c>
      <c r="C54" s="8" t="s">
        <v>85</v>
      </c>
      <c r="E54" s="8" t="s">
        <v>242</v>
      </c>
      <c r="F54" s="9">
        <v>-7.024572</v>
      </c>
      <c r="G54" s="9">
        <v>-76.463356000000005</v>
      </c>
      <c r="H54" s="8"/>
    </row>
    <row r="55" spans="1:8" x14ac:dyDescent="0.3">
      <c r="A55" s="8" t="s">
        <v>245</v>
      </c>
      <c r="B55" s="8"/>
      <c r="C55" s="8" t="s">
        <v>87</v>
      </c>
      <c r="D55" s="8"/>
      <c r="E55" s="8" t="s">
        <v>105</v>
      </c>
      <c r="F55" s="9">
        <v>-7.0019489999999998</v>
      </c>
      <c r="G55" s="9">
        <v>-76.438906000000003</v>
      </c>
    </row>
    <row r="56" spans="1:8" x14ac:dyDescent="0.3">
      <c r="A56" s="8" t="s">
        <v>249</v>
      </c>
      <c r="B56" s="8"/>
      <c r="C56" s="8" t="s">
        <v>85</v>
      </c>
      <c r="D56" s="8"/>
      <c r="E56" s="8" t="s">
        <v>27</v>
      </c>
      <c r="F56" s="9">
        <v>-7.0232479999999997</v>
      </c>
      <c r="G56" s="9">
        <v>-76.463779000000002</v>
      </c>
    </row>
    <row r="57" spans="1:8" s="8" customFormat="1" x14ac:dyDescent="0.3">
      <c r="A57" s="8" t="s">
        <v>250</v>
      </c>
      <c r="C57" s="8" t="s">
        <v>41</v>
      </c>
      <c r="E57" s="8" t="s">
        <v>15</v>
      </c>
      <c r="F57" s="9">
        <v>-7.0670510000000002</v>
      </c>
      <c r="G57" s="9">
        <v>-76.586541999999994</v>
      </c>
      <c r="H57"/>
    </row>
    <row r="58" spans="1:8" s="8" customFormat="1" x14ac:dyDescent="0.3">
      <c r="A58" s="8" t="s">
        <v>251</v>
      </c>
      <c r="B58"/>
      <c r="C58" s="8" t="s">
        <v>41</v>
      </c>
      <c r="D58"/>
      <c r="E58" s="8" t="s">
        <v>325</v>
      </c>
      <c r="F58" s="9">
        <v>-7.065499</v>
      </c>
      <c r="G58" s="9">
        <v>-76.592669000000001</v>
      </c>
      <c r="H58"/>
    </row>
    <row r="59" spans="1:8" x14ac:dyDescent="0.3">
      <c r="A59" s="8" t="s">
        <v>252</v>
      </c>
      <c r="B59" s="8"/>
      <c r="C59" s="8" t="s">
        <v>83</v>
      </c>
      <c r="D59" s="8"/>
      <c r="E59" s="8" t="s">
        <v>21</v>
      </c>
      <c r="F59" s="9">
        <v>-7.0550300000000004</v>
      </c>
      <c r="G59" s="9">
        <f>-76.54771</f>
        <v>-76.547709999999995</v>
      </c>
    </row>
    <row r="60" spans="1:8" x14ac:dyDescent="0.3">
      <c r="A60" s="8" t="s">
        <v>257</v>
      </c>
      <c r="B60" s="8"/>
      <c r="C60" s="8" t="s">
        <v>83</v>
      </c>
      <c r="D60" s="8"/>
      <c r="E60" s="8" t="s">
        <v>22</v>
      </c>
      <c r="F60" s="9">
        <v>-7.0549559999999998</v>
      </c>
      <c r="G60" s="9">
        <f>-76.54618</f>
        <v>-76.546180000000007</v>
      </c>
    </row>
    <row r="61" spans="1:8" x14ac:dyDescent="0.3">
      <c r="A61" s="8" t="s">
        <v>326</v>
      </c>
      <c r="B61" s="8"/>
      <c r="C61" s="8" t="s">
        <v>85</v>
      </c>
      <c r="D61" s="8"/>
      <c r="E61" s="8" t="s">
        <v>29</v>
      </c>
      <c r="F61" s="9">
        <v>-7.0230079999999999</v>
      </c>
      <c r="G61" s="9">
        <f>-76.466392</f>
        <v>-76.466391999999999</v>
      </c>
    </row>
    <row r="62" spans="1:8" x14ac:dyDescent="0.3">
      <c r="A62" s="8" t="s">
        <v>327</v>
      </c>
      <c r="C62" s="8" t="s">
        <v>85</v>
      </c>
      <c r="E62" s="8" t="s">
        <v>343</v>
      </c>
      <c r="F62" s="9">
        <v>-7.0221859999999996</v>
      </c>
      <c r="G62">
        <f>-76.465269</f>
        <v>-76.465269000000006</v>
      </c>
    </row>
    <row r="63" spans="1:8" x14ac:dyDescent="0.3">
      <c r="A63" s="8" t="s">
        <v>333</v>
      </c>
      <c r="C63" s="8" t="s">
        <v>85</v>
      </c>
      <c r="E63" s="8" t="s">
        <v>338</v>
      </c>
      <c r="F63" s="9">
        <v>-7.0246740000000001</v>
      </c>
      <c r="G63">
        <f>-76.4645</f>
        <v>-76.464500000000001</v>
      </c>
    </row>
    <row r="64" spans="1:8" x14ac:dyDescent="0.3">
      <c r="A64" s="8" t="s">
        <v>334</v>
      </c>
      <c r="B64" s="8"/>
      <c r="C64" s="8" t="s">
        <v>41</v>
      </c>
      <c r="D64" s="8"/>
      <c r="E64" s="8" t="s">
        <v>100</v>
      </c>
      <c r="F64" s="9">
        <v>-7.0606340000000003</v>
      </c>
      <c r="G64" s="9">
        <v>-76.589438999999999</v>
      </c>
    </row>
    <row r="65" spans="1:8" x14ac:dyDescent="0.3">
      <c r="A65" s="8" t="s">
        <v>335</v>
      </c>
      <c r="C65" s="8" t="s">
        <v>86</v>
      </c>
      <c r="E65" s="8" t="s">
        <v>332</v>
      </c>
      <c r="F65" s="9">
        <v>-7.0278460000000003</v>
      </c>
      <c r="G65" s="9">
        <v>-76.467877000000001</v>
      </c>
    </row>
    <row r="66" spans="1:8" x14ac:dyDescent="0.3">
      <c r="A66" s="8" t="s">
        <v>336</v>
      </c>
      <c r="B66" s="8"/>
      <c r="C66" s="8" t="s">
        <v>84</v>
      </c>
      <c r="D66" s="8"/>
      <c r="E66" s="8" t="s">
        <v>23</v>
      </c>
      <c r="F66" s="9">
        <v>-7.0370030000000003</v>
      </c>
      <c r="G66" s="9">
        <f>-76.494366</f>
        <v>-76.494365999999999</v>
      </c>
    </row>
    <row r="67" spans="1:8" x14ac:dyDescent="0.3">
      <c r="A67" s="8" t="s">
        <v>340</v>
      </c>
      <c r="B67" s="8"/>
      <c r="C67" s="8" t="s">
        <v>41</v>
      </c>
      <c r="D67" s="8"/>
      <c r="E67" s="8" t="s">
        <v>13</v>
      </c>
      <c r="F67" s="9">
        <v>-7.0673120000000003</v>
      </c>
      <c r="G67" s="9">
        <v>-76.593783000000002</v>
      </c>
    </row>
    <row r="68" spans="1:8" x14ac:dyDescent="0.3">
      <c r="A68" s="8" t="s">
        <v>341</v>
      </c>
      <c r="C68" s="8" t="s">
        <v>87</v>
      </c>
      <c r="E68" s="8" t="s">
        <v>247</v>
      </c>
      <c r="F68" s="9">
        <v>-7.0069039999999996</v>
      </c>
      <c r="G68" s="9">
        <v>-76.457113000000007</v>
      </c>
      <c r="H68" s="8"/>
    </row>
    <row r="69" spans="1:8" x14ac:dyDescent="0.3">
      <c r="A69" s="8" t="s">
        <v>342</v>
      </c>
      <c r="C69" s="8" t="s">
        <v>41</v>
      </c>
      <c r="E69" s="8" t="s">
        <v>329</v>
      </c>
      <c r="F69" s="9">
        <v>-7.061941</v>
      </c>
      <c r="G69" s="9">
        <v>-76.588947000000005</v>
      </c>
    </row>
    <row r="70" spans="1:8" x14ac:dyDescent="0.3">
      <c r="A70" s="8" t="s">
        <v>346</v>
      </c>
      <c r="C70" s="8" t="s">
        <v>86</v>
      </c>
      <c r="E70" s="8" t="s">
        <v>240</v>
      </c>
      <c r="F70" s="9">
        <v>-7.0321689999999997</v>
      </c>
      <c r="G70" s="9">
        <v>-76.467905000000002</v>
      </c>
      <c r="H70" s="8"/>
    </row>
    <row r="71" spans="1:8" x14ac:dyDescent="0.3">
      <c r="A71" s="8" t="s">
        <v>347</v>
      </c>
      <c r="B71" s="8"/>
      <c r="C71" s="8" t="s">
        <v>41</v>
      </c>
      <c r="D71" s="8"/>
      <c r="E71" s="8" t="s">
        <v>99</v>
      </c>
      <c r="F71" s="8">
        <v>-7.0665639999999996</v>
      </c>
      <c r="G71" s="8">
        <f>-76.592069</f>
        <v>-76.592068999999995</v>
      </c>
    </row>
    <row r="72" spans="1:8" x14ac:dyDescent="0.3">
      <c r="A72" s="8" t="s">
        <v>348</v>
      </c>
      <c r="B72" s="8"/>
      <c r="C72" s="8" t="s">
        <v>41</v>
      </c>
      <c r="D72" s="8"/>
      <c r="E72" s="16" t="s">
        <v>226</v>
      </c>
      <c r="F72" s="9">
        <v>-7.0672689999999996</v>
      </c>
      <c r="G72" s="9">
        <v>-76.597234</v>
      </c>
      <c r="H72" s="8"/>
    </row>
    <row r="73" spans="1:8" x14ac:dyDescent="0.3">
      <c r="A73" s="8" t="s">
        <v>404</v>
      </c>
      <c r="C73" s="8" t="s">
        <v>351</v>
      </c>
      <c r="E73" s="8" t="s">
        <v>350</v>
      </c>
      <c r="F73" s="9">
        <v>-7.0442299999999998</v>
      </c>
      <c r="G73">
        <v>-76.582819999999998</v>
      </c>
    </row>
    <row r="74" spans="1:8" x14ac:dyDescent="0.3">
      <c r="A74" s="8" t="s">
        <v>410</v>
      </c>
      <c r="C74" s="8" t="s">
        <v>351</v>
      </c>
      <c r="E74" s="8" t="s">
        <v>409</v>
      </c>
      <c r="F74" s="9">
        <v>-7.0667239999999998</v>
      </c>
      <c r="G74" s="9">
        <v>-76.594515000000001</v>
      </c>
    </row>
    <row r="75" spans="1:8" x14ac:dyDescent="0.3">
      <c r="A75" s="8" t="s">
        <v>411</v>
      </c>
      <c r="C75" s="8" t="s">
        <v>41</v>
      </c>
      <c r="E75" s="8" t="s">
        <v>413</v>
      </c>
      <c r="F75" s="9">
        <v>-7.0682090000000004</v>
      </c>
      <c r="G75">
        <v>-76.599288000000001</v>
      </c>
    </row>
    <row r="76" spans="1:8" x14ac:dyDescent="0.3">
      <c r="A76" s="8" t="s">
        <v>412</v>
      </c>
      <c r="C76" s="8" t="s">
        <v>86</v>
      </c>
      <c r="E76" s="8" t="s">
        <v>414</v>
      </c>
      <c r="F76" s="9">
        <v>-7.0319979999999997</v>
      </c>
      <c r="G76" s="9">
        <v>-76.470039999999997</v>
      </c>
    </row>
    <row r="77" spans="1:8" x14ac:dyDescent="0.3">
      <c r="A77" s="8" t="s">
        <v>415</v>
      </c>
      <c r="C77" s="8" t="s">
        <v>85</v>
      </c>
      <c r="E77" s="8" t="s">
        <v>271</v>
      </c>
      <c r="F77" s="9">
        <v>-7.0257680000000002</v>
      </c>
      <c r="G77">
        <f>-76.465374</f>
        <v>-76.465373999999997</v>
      </c>
    </row>
    <row r="78" spans="1:8" x14ac:dyDescent="0.3">
      <c r="A78" s="8" t="s">
        <v>449</v>
      </c>
      <c r="C78" s="8" t="s">
        <v>41</v>
      </c>
      <c r="E78" s="8" t="s">
        <v>447</v>
      </c>
      <c r="F78" s="9">
        <v>-7.0650019999999998</v>
      </c>
      <c r="G78" s="9">
        <v>-76.581646000000006</v>
      </c>
    </row>
    <row r="79" spans="1:8" x14ac:dyDescent="0.3">
      <c r="A79" s="8" t="s">
        <v>450</v>
      </c>
      <c r="C79" s="8" t="s">
        <v>41</v>
      </c>
      <c r="E79" s="8" t="s">
        <v>448</v>
      </c>
      <c r="F79" s="9">
        <v>-7.0565639999999998</v>
      </c>
      <c r="G79">
        <v>-76.588994</v>
      </c>
    </row>
    <row r="80" spans="1:8" x14ac:dyDescent="0.3">
      <c r="A80" s="8" t="s">
        <v>458</v>
      </c>
      <c r="C80" t="s">
        <v>88</v>
      </c>
      <c r="E80" t="s">
        <v>452</v>
      </c>
      <c r="F80">
        <v>-6.9945950000000003</v>
      </c>
      <c r="G80">
        <v>-76.426361999999997</v>
      </c>
    </row>
    <row r="81" spans="1:7" x14ac:dyDescent="0.3">
      <c r="A81" s="8" t="s">
        <v>459</v>
      </c>
      <c r="C81" s="8" t="s">
        <v>41</v>
      </c>
      <c r="E81" s="8" t="s">
        <v>453</v>
      </c>
      <c r="F81" s="5">
        <v>-7.0648200000000001</v>
      </c>
      <c r="G81" s="9">
        <f>-76.58571</f>
        <v>-76.585710000000006</v>
      </c>
    </row>
  </sheetData>
  <autoFilter ref="A1:H81">
    <sortState ref="A2:H73">
      <sortCondition descending="1" ref="E1:E73"/>
    </sortState>
  </autoFilter>
  <mergeCells count="1">
    <mergeCell ref="O24:Q25"/>
  </mergeCells>
  <pageMargins left="0.75" right="0.75" top="1" bottom="1" header="0.51180555555555551" footer="0.51180555555555551"/>
  <pageSetup paperSize="9" firstPageNumber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46"/>
  <sheetViews>
    <sheetView topLeftCell="C1" zoomScale="85" zoomScaleNormal="85" workbookViewId="0">
      <selection activeCell="H3" sqref="H3:H46"/>
    </sheetView>
  </sheetViews>
  <sheetFormatPr baseColWidth="10" defaultRowHeight="15.6" x14ac:dyDescent="0.3"/>
  <cols>
    <col min="1" max="1" width="18.09765625" customWidth="1"/>
    <col min="3" max="3" width="16.8984375" customWidth="1"/>
    <col min="4" max="4" width="15.59765625" customWidth="1"/>
    <col min="5" max="5" width="24.3984375" customWidth="1"/>
    <col min="6" max="6" width="17.69921875" customWidth="1"/>
    <col min="8" max="8" width="34.19921875" customWidth="1"/>
  </cols>
  <sheetData>
    <row r="1" spans="1:16" ht="18.600000000000001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P1" s="3"/>
    </row>
    <row r="2" spans="1:16" ht="16.2" hidden="1" thickTop="1" x14ac:dyDescent="0.3">
      <c r="A2" s="8" t="s">
        <v>8</v>
      </c>
      <c r="B2" s="8"/>
      <c r="C2" s="8" t="s">
        <v>107</v>
      </c>
      <c r="D2" s="8"/>
      <c r="E2" s="8" t="s">
        <v>258</v>
      </c>
      <c r="F2" s="9">
        <v>-7.0772930000000001</v>
      </c>
      <c r="G2" s="9">
        <v>-76.565853000000004</v>
      </c>
      <c r="H2" s="8"/>
      <c r="P2" s="3"/>
    </row>
    <row r="3" spans="1:16" ht="16.2" thickTop="1" x14ac:dyDescent="0.3">
      <c r="A3" s="8" t="s">
        <v>42</v>
      </c>
      <c r="B3" s="8"/>
      <c r="C3" s="8" t="s">
        <v>108</v>
      </c>
      <c r="D3" s="16"/>
      <c r="E3" s="8" t="s">
        <v>259</v>
      </c>
      <c r="F3" s="9">
        <v>-7.1140270000000001</v>
      </c>
      <c r="G3" s="8">
        <v>-76.506332999999998</v>
      </c>
      <c r="H3" s="8"/>
      <c r="P3" s="3"/>
    </row>
    <row r="4" spans="1:16" hidden="1" x14ac:dyDescent="0.3">
      <c r="A4" s="8" t="s">
        <v>43</v>
      </c>
      <c r="B4" s="8"/>
      <c r="C4" s="8" t="s">
        <v>108</v>
      </c>
      <c r="D4" s="8"/>
      <c r="E4" s="8" t="s">
        <v>260</v>
      </c>
      <c r="F4" s="9">
        <v>-7.1140270000000001</v>
      </c>
      <c r="G4" s="9">
        <v>-76.506936999999994</v>
      </c>
      <c r="H4" s="8"/>
      <c r="P4" s="3"/>
    </row>
    <row r="5" spans="1:16" x14ac:dyDescent="0.3">
      <c r="A5" s="8" t="s">
        <v>44</v>
      </c>
      <c r="B5" s="8"/>
      <c r="C5" s="8" t="s">
        <v>109</v>
      </c>
      <c r="D5" s="16"/>
      <c r="E5" s="8" t="s">
        <v>261</v>
      </c>
      <c r="F5" s="9">
        <v>-7.0994419999999998</v>
      </c>
      <c r="G5" s="8">
        <v>-76.472403999999997</v>
      </c>
      <c r="H5" s="8"/>
      <c r="P5" s="3"/>
    </row>
    <row r="6" spans="1:16" x14ac:dyDescent="0.3">
      <c r="A6" s="8" t="s">
        <v>90</v>
      </c>
      <c r="B6" s="8"/>
      <c r="C6" s="8" t="s">
        <v>109</v>
      </c>
      <c r="D6" s="16"/>
      <c r="E6" s="8" t="s">
        <v>262</v>
      </c>
      <c r="F6" s="9">
        <v>-7.09945</v>
      </c>
      <c r="G6" s="9">
        <v>-76.472673</v>
      </c>
      <c r="H6" s="8"/>
      <c r="P6" s="3"/>
    </row>
    <row r="7" spans="1:16" x14ac:dyDescent="0.3">
      <c r="A7" s="8" t="s">
        <v>45</v>
      </c>
      <c r="B7" s="8"/>
      <c r="C7" s="8" t="s">
        <v>109</v>
      </c>
      <c r="D7" s="16"/>
      <c r="E7" s="8" t="s">
        <v>263</v>
      </c>
      <c r="F7" s="9">
        <v>-7.0966740000000001</v>
      </c>
      <c r="G7" s="8">
        <f>-76.472561</f>
        <v>-76.472560999999999</v>
      </c>
      <c r="H7" s="8"/>
      <c r="P7" s="3"/>
    </row>
    <row r="8" spans="1:16" x14ac:dyDescent="0.3">
      <c r="A8" s="8" t="s">
        <v>46</v>
      </c>
      <c r="B8" s="8"/>
      <c r="C8" s="8" t="s">
        <v>110</v>
      </c>
      <c r="D8" s="16"/>
      <c r="E8" s="8" t="s">
        <v>264</v>
      </c>
      <c r="F8" s="8">
        <v>-7.1506879999999997</v>
      </c>
      <c r="G8" s="8">
        <f>-76.489675</f>
        <v>-76.489675000000005</v>
      </c>
      <c r="H8" s="8"/>
      <c r="P8" s="3"/>
    </row>
    <row r="9" spans="1:16" hidden="1" x14ac:dyDescent="0.3">
      <c r="A9" s="8" t="s">
        <v>47</v>
      </c>
      <c r="B9" s="8"/>
      <c r="C9" s="8" t="s">
        <v>110</v>
      </c>
      <c r="D9" s="8"/>
      <c r="E9" s="8" t="s">
        <v>265</v>
      </c>
      <c r="F9" s="9">
        <v>-7.1513960000000001</v>
      </c>
      <c r="G9" s="8">
        <v>-76.490283000000005</v>
      </c>
      <c r="H9" s="8"/>
      <c r="P9" s="3"/>
    </row>
    <row r="10" spans="1:16" hidden="1" x14ac:dyDescent="0.3">
      <c r="A10" s="8" t="s">
        <v>48</v>
      </c>
      <c r="B10" s="8"/>
      <c r="C10" s="8" t="s">
        <v>110</v>
      </c>
      <c r="D10" s="8"/>
      <c r="E10" s="8" t="s">
        <v>266</v>
      </c>
      <c r="F10" s="9">
        <v>-7.1492110000000002</v>
      </c>
      <c r="G10" s="8">
        <v>-76.490365999999995</v>
      </c>
      <c r="H10" s="9"/>
      <c r="P10" s="3"/>
    </row>
    <row r="11" spans="1:16" s="8" customFormat="1" x14ac:dyDescent="0.3">
      <c r="A11" s="8" t="s">
        <v>49</v>
      </c>
      <c r="C11" s="8" t="s">
        <v>111</v>
      </c>
      <c r="D11" s="16"/>
      <c r="E11" s="8" t="s">
        <v>267</v>
      </c>
      <c r="F11" s="9">
        <v>-7.1628420000000004</v>
      </c>
      <c r="G11" s="8">
        <v>-76.497733999999994</v>
      </c>
    </row>
    <row r="12" spans="1:16" s="8" customFormat="1" hidden="1" x14ac:dyDescent="0.3">
      <c r="A12" s="8" t="s">
        <v>50</v>
      </c>
      <c r="C12" s="8" t="s">
        <v>111</v>
      </c>
      <c r="E12" s="8" t="s">
        <v>268</v>
      </c>
      <c r="F12" s="9">
        <v>-7.1634130000000003</v>
      </c>
      <c r="G12" s="8">
        <v>-76.494707000000005</v>
      </c>
    </row>
    <row r="13" spans="1:16" x14ac:dyDescent="0.3">
      <c r="A13" s="8" t="s">
        <v>51</v>
      </c>
      <c r="B13" s="8"/>
      <c r="C13" s="8" t="s">
        <v>111</v>
      </c>
      <c r="D13" s="16"/>
      <c r="E13" s="8" t="s">
        <v>269</v>
      </c>
      <c r="F13" s="9">
        <v>-7.1659249999999997</v>
      </c>
      <c r="G13" s="8">
        <f>-76.493317</f>
        <v>-76.493317000000005</v>
      </c>
      <c r="H13" s="8"/>
      <c r="P13" s="3"/>
    </row>
    <row r="14" spans="1:16" s="8" customFormat="1" hidden="1" x14ac:dyDescent="0.3">
      <c r="A14" s="8" t="s">
        <v>52</v>
      </c>
      <c r="C14" s="8" t="s">
        <v>112</v>
      </c>
      <c r="E14" s="8" t="s">
        <v>270</v>
      </c>
      <c r="F14" s="9">
        <v>-7.1810939999999999</v>
      </c>
      <c r="G14" s="8">
        <v>-76.517024000000006</v>
      </c>
    </row>
    <row r="15" spans="1:16" x14ac:dyDescent="0.3">
      <c r="A15" s="8" t="s">
        <v>53</v>
      </c>
      <c r="B15" s="8"/>
      <c r="C15" s="8" t="s">
        <v>112</v>
      </c>
      <c r="D15" s="16"/>
      <c r="E15" s="8" t="s">
        <v>463</v>
      </c>
      <c r="F15" s="9">
        <v>-7.1817770000000003</v>
      </c>
      <c r="G15" s="8">
        <v>-76.517737999999994</v>
      </c>
      <c r="H15" s="8"/>
      <c r="P15" s="3"/>
    </row>
    <row r="16" spans="1:16" s="8" customFormat="1" x14ac:dyDescent="0.3">
      <c r="A16" s="8" t="s">
        <v>54</v>
      </c>
      <c r="C16" s="8" t="s">
        <v>112</v>
      </c>
      <c r="D16" s="16"/>
      <c r="E16" s="8" t="s">
        <v>272</v>
      </c>
      <c r="F16" s="9">
        <v>-7.1800519999999999</v>
      </c>
      <c r="G16" s="8">
        <v>76.516998999999998</v>
      </c>
    </row>
    <row r="17" spans="1:8" s="8" customFormat="1" x14ac:dyDescent="0.3">
      <c r="A17" s="8" t="s">
        <v>55</v>
      </c>
      <c r="C17" s="8" t="s">
        <v>112</v>
      </c>
      <c r="D17" s="16"/>
      <c r="E17" s="8" t="s">
        <v>462</v>
      </c>
      <c r="F17" s="9">
        <v>-7.1790219999999998</v>
      </c>
      <c r="G17" s="8">
        <v>-76.514707999999999</v>
      </c>
    </row>
    <row r="18" spans="1:8" s="8" customFormat="1" x14ac:dyDescent="0.3">
      <c r="A18" s="8" t="s">
        <v>56</v>
      </c>
      <c r="C18" s="8" t="s">
        <v>112</v>
      </c>
      <c r="D18" s="16"/>
      <c r="E18" s="8" t="s">
        <v>273</v>
      </c>
      <c r="F18" s="9">
        <v>-7.1803140000000001</v>
      </c>
      <c r="G18" s="8">
        <f>-76.515061</f>
        <v>-76.515061000000003</v>
      </c>
    </row>
    <row r="19" spans="1:8" s="8" customFormat="1" x14ac:dyDescent="0.3">
      <c r="A19" s="8" t="s">
        <v>57</v>
      </c>
      <c r="C19" s="8" t="s">
        <v>113</v>
      </c>
      <c r="D19" s="16"/>
      <c r="E19" s="8" t="s">
        <v>274</v>
      </c>
      <c r="F19" s="9">
        <v>-7.2555249999999996</v>
      </c>
      <c r="G19" s="8">
        <f>-76.46988</f>
        <v>-76.469880000000003</v>
      </c>
    </row>
    <row r="20" spans="1:8" hidden="1" x14ac:dyDescent="0.3">
      <c r="A20" s="8" t="s">
        <v>58</v>
      </c>
      <c r="B20" s="8"/>
      <c r="C20" s="8" t="s">
        <v>113</v>
      </c>
      <c r="D20" s="8"/>
      <c r="E20" s="8" t="s">
        <v>275</v>
      </c>
      <c r="F20" s="9">
        <v>-7.2555709999999998</v>
      </c>
      <c r="G20" s="8">
        <v>-76.473681999999997</v>
      </c>
      <c r="H20" s="8"/>
    </row>
    <row r="21" spans="1:8" hidden="1" x14ac:dyDescent="0.3">
      <c r="A21" s="8" t="s">
        <v>59</v>
      </c>
      <c r="B21" s="8"/>
      <c r="C21" s="8" t="s">
        <v>114</v>
      </c>
      <c r="D21" s="8"/>
      <c r="E21" s="8" t="s">
        <v>427</v>
      </c>
      <c r="F21" s="8">
        <v>-7.2555120000000004</v>
      </c>
      <c r="G21" s="8">
        <v>-76.476933000000002</v>
      </c>
      <c r="H21" s="8"/>
    </row>
    <row r="22" spans="1:8" hidden="1" x14ac:dyDescent="0.3">
      <c r="A22" s="8" t="s">
        <v>60</v>
      </c>
      <c r="B22" s="8"/>
      <c r="C22" s="8" t="s">
        <v>115</v>
      </c>
      <c r="D22" s="8"/>
      <c r="E22" s="8" t="s">
        <v>276</v>
      </c>
      <c r="F22" s="9">
        <v>-7.2723430000000002</v>
      </c>
      <c r="G22" s="8">
        <v>-76.469369</v>
      </c>
      <c r="H22" s="8"/>
    </row>
    <row r="23" spans="1:8" hidden="1" x14ac:dyDescent="0.3">
      <c r="A23" s="8" t="s">
        <v>61</v>
      </c>
      <c r="B23" s="8"/>
      <c r="C23" s="8" t="s">
        <v>115</v>
      </c>
      <c r="D23" s="8"/>
      <c r="E23" s="8" t="s">
        <v>277</v>
      </c>
      <c r="F23" s="9">
        <v>-7.2727839999999997</v>
      </c>
      <c r="G23" s="8">
        <v>-76.470343999999997</v>
      </c>
      <c r="H23" s="8"/>
    </row>
    <row r="24" spans="1:8" hidden="1" x14ac:dyDescent="0.3">
      <c r="A24" s="8" t="s">
        <v>62</v>
      </c>
      <c r="C24" s="8" t="s">
        <v>115</v>
      </c>
      <c r="E24" s="8" t="s">
        <v>278</v>
      </c>
      <c r="F24" s="9">
        <v>-7.0544609999999999</v>
      </c>
      <c r="G24">
        <f>-76.58736</f>
        <v>-76.587360000000004</v>
      </c>
      <c r="H24" s="8"/>
    </row>
    <row r="25" spans="1:8" hidden="1" x14ac:dyDescent="0.3">
      <c r="A25" s="8" t="s">
        <v>63</v>
      </c>
      <c r="C25" s="8" t="s">
        <v>109</v>
      </c>
      <c r="E25" s="8" t="s">
        <v>279</v>
      </c>
      <c r="F25" s="9">
        <v>-7.0972559999999998</v>
      </c>
      <c r="G25">
        <v>-76.472288000000006</v>
      </c>
    </row>
    <row r="26" spans="1:8" x14ac:dyDescent="0.3">
      <c r="A26" s="8" t="s">
        <v>64</v>
      </c>
      <c r="C26" s="8" t="s">
        <v>112</v>
      </c>
      <c r="D26" s="17"/>
      <c r="E26" s="8" t="s">
        <v>280</v>
      </c>
      <c r="F26" s="9">
        <v>-7.1799299999999997</v>
      </c>
      <c r="G26">
        <v>-76.516834000000003</v>
      </c>
    </row>
    <row r="27" spans="1:8" hidden="1" x14ac:dyDescent="0.3">
      <c r="A27" s="8" t="s">
        <v>65</v>
      </c>
      <c r="C27" s="8" t="s">
        <v>112</v>
      </c>
      <c r="E27" s="8" t="s">
        <v>281</v>
      </c>
      <c r="F27" s="9">
        <v>-7.181038</v>
      </c>
      <c r="G27">
        <v>-76.516829999999999</v>
      </c>
    </row>
    <row r="28" spans="1:8" x14ac:dyDescent="0.3">
      <c r="A28" s="8" t="s">
        <v>66</v>
      </c>
      <c r="C28" s="8" t="s">
        <v>283</v>
      </c>
      <c r="D28" s="17"/>
      <c r="E28" s="8" t="s">
        <v>282</v>
      </c>
      <c r="F28" s="9">
        <v>-7.2072700000000003</v>
      </c>
      <c r="G28">
        <v>-76.490340000000003</v>
      </c>
    </row>
    <row r="29" spans="1:8" hidden="1" x14ac:dyDescent="0.3">
      <c r="A29" s="8" t="s">
        <v>67</v>
      </c>
      <c r="C29" s="8" t="s">
        <v>283</v>
      </c>
      <c r="E29" s="8" t="s">
        <v>284</v>
      </c>
      <c r="F29" s="9">
        <v>-7.208215</v>
      </c>
      <c r="G29">
        <v>-76.490730999999997</v>
      </c>
    </row>
    <row r="30" spans="1:8" x14ac:dyDescent="0.3">
      <c r="A30" s="8" t="s">
        <v>68</v>
      </c>
      <c r="C30" s="8" t="s">
        <v>283</v>
      </c>
      <c r="D30" s="17"/>
      <c r="E30" s="8" t="s">
        <v>285</v>
      </c>
      <c r="F30" s="9">
        <v>-7.2084460000000004</v>
      </c>
      <c r="G30">
        <v>-76.491062999999997</v>
      </c>
    </row>
    <row r="31" spans="1:8" hidden="1" x14ac:dyDescent="0.3">
      <c r="A31" s="8" t="s">
        <v>69</v>
      </c>
      <c r="C31" s="8" t="s">
        <v>113</v>
      </c>
      <c r="E31" s="8" t="s">
        <v>286</v>
      </c>
      <c r="F31" s="9">
        <v>-7.2561210000000003</v>
      </c>
      <c r="G31">
        <v>-76.475362000000004</v>
      </c>
    </row>
    <row r="32" spans="1:8" x14ac:dyDescent="0.3">
      <c r="A32" s="8" t="s">
        <v>70</v>
      </c>
      <c r="C32" s="8" t="s">
        <v>113</v>
      </c>
      <c r="D32" s="17"/>
      <c r="E32" s="8" t="s">
        <v>287</v>
      </c>
      <c r="F32" s="9">
        <v>-7.2552199999999996</v>
      </c>
      <c r="G32">
        <v>-76.475697999999994</v>
      </c>
    </row>
    <row r="33" spans="1:7" x14ac:dyDescent="0.3">
      <c r="A33" s="8" t="s">
        <v>71</v>
      </c>
      <c r="C33" s="8" t="s">
        <v>109</v>
      </c>
      <c r="D33" s="17"/>
      <c r="E33" s="8" t="s">
        <v>416</v>
      </c>
      <c r="F33" s="9">
        <v>-7.1133810000000004</v>
      </c>
      <c r="G33">
        <v>-76.508387999999997</v>
      </c>
    </row>
    <row r="34" spans="1:7" x14ac:dyDescent="0.3">
      <c r="A34" s="8" t="s">
        <v>72</v>
      </c>
      <c r="C34" s="8" t="s">
        <v>109</v>
      </c>
      <c r="E34" s="8" t="s">
        <v>417</v>
      </c>
      <c r="F34" s="9">
        <v>-7.1018699999999999</v>
      </c>
      <c r="G34">
        <v>-76.471729999999994</v>
      </c>
    </row>
    <row r="35" spans="1:7" x14ac:dyDescent="0.3">
      <c r="A35" s="8" t="s">
        <v>73</v>
      </c>
      <c r="C35" s="8" t="s">
        <v>109</v>
      </c>
      <c r="E35" s="8" t="s">
        <v>460</v>
      </c>
      <c r="F35" s="9">
        <v>-7.1002900000000002</v>
      </c>
      <c r="G35">
        <v>-76.472160000000002</v>
      </c>
    </row>
    <row r="36" spans="1:7" x14ac:dyDescent="0.3">
      <c r="A36" s="8" t="s">
        <v>74</v>
      </c>
      <c r="C36" s="8" t="s">
        <v>109</v>
      </c>
      <c r="E36" s="8" t="s">
        <v>418</v>
      </c>
      <c r="F36" s="9">
        <v>-7.0993500000000003</v>
      </c>
      <c r="G36">
        <v>-76.472229999999996</v>
      </c>
    </row>
    <row r="37" spans="1:7" hidden="1" x14ac:dyDescent="0.3">
      <c r="A37" s="8" t="s">
        <v>75</v>
      </c>
      <c r="C37" s="8" t="s">
        <v>109</v>
      </c>
      <c r="E37" s="8" t="s">
        <v>419</v>
      </c>
      <c r="F37" s="9">
        <v>-7.0981899999999998</v>
      </c>
      <c r="G37">
        <f>-76.472142</f>
        <v>-76.472142000000005</v>
      </c>
    </row>
    <row r="38" spans="1:7" x14ac:dyDescent="0.3">
      <c r="A38" s="8" t="s">
        <v>76</v>
      </c>
      <c r="C38" s="8" t="s">
        <v>109</v>
      </c>
      <c r="E38" s="8" t="s">
        <v>420</v>
      </c>
      <c r="F38" s="9">
        <v>-7.0981509999999997</v>
      </c>
      <c r="G38">
        <f>-76.472152</f>
        <v>-76.472151999999994</v>
      </c>
    </row>
    <row r="39" spans="1:7" x14ac:dyDescent="0.3">
      <c r="A39" s="8" t="s">
        <v>77</v>
      </c>
      <c r="C39" t="s">
        <v>422</v>
      </c>
      <c r="E39" s="8" t="s">
        <v>421</v>
      </c>
      <c r="F39">
        <v>-7.1465500000000004</v>
      </c>
      <c r="G39">
        <f>-76.489758</f>
        <v>-76.489757999999995</v>
      </c>
    </row>
    <row r="40" spans="1:7" x14ac:dyDescent="0.3">
      <c r="A40" s="8" t="s">
        <v>78</v>
      </c>
      <c r="C40" t="s">
        <v>112</v>
      </c>
      <c r="E40" s="8" t="s">
        <v>423</v>
      </c>
      <c r="F40" s="9">
        <v>-7.1797360000000001</v>
      </c>
      <c r="G40">
        <f>-76.513541</f>
        <v>-76.513541000000004</v>
      </c>
    </row>
    <row r="41" spans="1:7" hidden="1" x14ac:dyDescent="0.3">
      <c r="A41" s="8" t="s">
        <v>79</v>
      </c>
      <c r="C41" t="s">
        <v>112</v>
      </c>
      <c r="E41" s="8" t="s">
        <v>424</v>
      </c>
      <c r="F41" s="9">
        <v>-7.1793699999999996</v>
      </c>
      <c r="G41">
        <v>-76.515719000000004</v>
      </c>
    </row>
    <row r="42" spans="1:7" x14ac:dyDescent="0.3">
      <c r="A42" s="8" t="s">
        <v>80</v>
      </c>
      <c r="C42" t="s">
        <v>112</v>
      </c>
      <c r="E42" s="8" t="s">
        <v>425</v>
      </c>
      <c r="F42" s="9">
        <v>-7.1792090000000002</v>
      </c>
      <c r="G42">
        <f>-76.515813</f>
        <v>-76.515812999999994</v>
      </c>
    </row>
    <row r="43" spans="1:7" x14ac:dyDescent="0.3">
      <c r="A43" s="8" t="s">
        <v>81</v>
      </c>
      <c r="C43" t="s">
        <v>283</v>
      </c>
      <c r="E43" s="8" t="s">
        <v>426</v>
      </c>
      <c r="F43" s="9">
        <v>-7.206842</v>
      </c>
      <c r="G43">
        <f>-76.490452</f>
        <v>-76.490452000000005</v>
      </c>
    </row>
    <row r="44" spans="1:7" hidden="1" x14ac:dyDescent="0.3">
      <c r="A44" s="8" t="s">
        <v>82</v>
      </c>
      <c r="C44" t="s">
        <v>114</v>
      </c>
      <c r="E44" s="8" t="s">
        <v>428</v>
      </c>
      <c r="F44" s="9">
        <v>-7.2563370000000003</v>
      </c>
      <c r="G44">
        <v>-76.473276999999996</v>
      </c>
    </row>
    <row r="45" spans="1:7" hidden="1" x14ac:dyDescent="0.3">
      <c r="A45" s="8" t="s">
        <v>227</v>
      </c>
      <c r="C45" t="s">
        <v>115</v>
      </c>
      <c r="E45" s="8" t="s">
        <v>429</v>
      </c>
      <c r="F45" s="9">
        <v>-7.2732429999999999</v>
      </c>
      <c r="G45">
        <v>-76.469864999999999</v>
      </c>
    </row>
    <row r="46" spans="1:7" x14ac:dyDescent="0.3">
      <c r="A46" s="8"/>
      <c r="C46" s="8" t="s">
        <v>111</v>
      </c>
      <c r="E46" s="8" t="s">
        <v>461</v>
      </c>
      <c r="F46" s="8">
        <v>-7.1663350000000001</v>
      </c>
      <c r="G46" s="8">
        <v>-76.493549000000002</v>
      </c>
    </row>
  </sheetData>
  <autoFilter ref="A1:H46">
    <filterColumn colId="7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zoomScale="70" zoomScaleNormal="70" workbookViewId="0">
      <selection activeCell="E25" sqref="E25"/>
    </sheetView>
  </sheetViews>
  <sheetFormatPr baseColWidth="10" defaultRowHeight="15.6" x14ac:dyDescent="0.3"/>
  <cols>
    <col min="3" max="3" width="22.296875" customWidth="1"/>
    <col min="4" max="4" width="19.09765625" customWidth="1"/>
    <col min="5" max="5" width="23.5" customWidth="1"/>
    <col min="8" max="8" width="11.19921875" customWidth="1"/>
  </cols>
  <sheetData>
    <row r="1" spans="1:16" ht="18.600000000000001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ht="16.2" thickTop="1" x14ac:dyDescent="0.3">
      <c r="A2" s="8" t="s">
        <v>8</v>
      </c>
      <c r="B2" s="10"/>
      <c r="C2" s="8" t="s">
        <v>406</v>
      </c>
      <c r="D2" s="8"/>
      <c r="E2" s="8" t="s">
        <v>354</v>
      </c>
      <c r="F2" s="4">
        <v>-7.1585349999999996</v>
      </c>
      <c r="G2" s="5">
        <v>-76.664546000000001</v>
      </c>
      <c r="N2" s="17"/>
      <c r="O2" s="17"/>
      <c r="P2" s="17"/>
    </row>
    <row r="3" spans="1:16" x14ac:dyDescent="0.3">
      <c r="A3" s="8" t="s">
        <v>42</v>
      </c>
      <c r="B3" s="10"/>
      <c r="C3" s="8" t="s">
        <v>408</v>
      </c>
      <c r="D3" s="8"/>
      <c r="E3" s="8" t="s">
        <v>355</v>
      </c>
      <c r="F3" s="4">
        <v>-7.3032089999999998</v>
      </c>
      <c r="G3" s="5">
        <v>-76.654510000000002</v>
      </c>
      <c r="L3" s="17"/>
      <c r="N3" s="17"/>
      <c r="O3" s="17"/>
      <c r="P3" s="17"/>
    </row>
    <row r="4" spans="1:16" x14ac:dyDescent="0.3">
      <c r="A4" s="8" t="s">
        <v>43</v>
      </c>
      <c r="B4" s="10"/>
      <c r="C4" s="8" t="s">
        <v>406</v>
      </c>
      <c r="D4" s="8"/>
      <c r="E4" s="8" t="s">
        <v>356</v>
      </c>
      <c r="F4" s="4">
        <v>-7.1577570000000001</v>
      </c>
      <c r="G4" s="6">
        <v>-76.665152000000006</v>
      </c>
      <c r="N4" s="17"/>
      <c r="O4" s="17"/>
      <c r="P4" s="17"/>
    </row>
    <row r="5" spans="1:16" x14ac:dyDescent="0.3">
      <c r="A5" s="8" t="s">
        <v>44</v>
      </c>
      <c r="B5" s="8"/>
      <c r="C5" t="s">
        <v>379</v>
      </c>
      <c r="D5" s="8"/>
      <c r="E5" s="8" t="s">
        <v>357</v>
      </c>
      <c r="F5" s="4">
        <v>-7.1742460000000001</v>
      </c>
      <c r="G5" s="7">
        <v>-76.688517000000004</v>
      </c>
      <c r="L5" s="17"/>
      <c r="N5" s="17"/>
      <c r="O5" s="17"/>
      <c r="P5" s="17"/>
    </row>
    <row r="6" spans="1:16" x14ac:dyDescent="0.3">
      <c r="A6" s="8" t="s">
        <v>90</v>
      </c>
      <c r="B6" s="8"/>
      <c r="C6" t="s">
        <v>405</v>
      </c>
      <c r="D6" s="8"/>
      <c r="E6" s="8" t="s">
        <v>358</v>
      </c>
      <c r="F6" s="4" t="s">
        <v>89</v>
      </c>
      <c r="G6" s="5">
        <v>-76.650570000000002</v>
      </c>
      <c r="N6" s="17"/>
      <c r="O6" s="17"/>
      <c r="P6" s="17"/>
    </row>
    <row r="7" spans="1:16" x14ac:dyDescent="0.3">
      <c r="A7" s="8" t="s">
        <v>45</v>
      </c>
      <c r="B7" s="8"/>
      <c r="C7" s="8" t="s">
        <v>379</v>
      </c>
      <c r="D7" s="8"/>
      <c r="E7" s="8" t="s">
        <v>359</v>
      </c>
      <c r="F7" s="5">
        <v>-7.1795260000000001</v>
      </c>
      <c r="G7" s="5">
        <v>-76.689299000000005</v>
      </c>
      <c r="N7" s="17"/>
      <c r="O7" s="17"/>
      <c r="P7" s="17"/>
    </row>
    <row r="8" spans="1:16" x14ac:dyDescent="0.3">
      <c r="A8" s="8" t="s">
        <v>46</v>
      </c>
      <c r="B8" s="8"/>
      <c r="C8" s="8" t="s">
        <v>405</v>
      </c>
      <c r="D8" s="8"/>
      <c r="E8" s="8" t="s">
        <v>360</v>
      </c>
      <c r="F8" s="5">
        <v>-7.1251179999999996</v>
      </c>
      <c r="G8" s="5">
        <v>-76.652434999999997</v>
      </c>
      <c r="L8" s="17"/>
      <c r="N8" s="17"/>
      <c r="O8" s="17"/>
      <c r="P8" s="17"/>
    </row>
    <row r="9" spans="1:16" x14ac:dyDescent="0.3">
      <c r="A9" s="8" t="s">
        <v>47</v>
      </c>
      <c r="B9" s="8"/>
      <c r="C9" s="8" t="s">
        <v>408</v>
      </c>
      <c r="D9" s="8"/>
      <c r="E9" s="8" t="s">
        <v>361</v>
      </c>
      <c r="F9" s="5">
        <v>-7.3060900000000002</v>
      </c>
      <c r="G9" s="5">
        <v>-76.653279999999995</v>
      </c>
      <c r="N9" s="17"/>
      <c r="O9" s="17"/>
      <c r="P9" s="17"/>
    </row>
    <row r="10" spans="1:16" x14ac:dyDescent="0.3">
      <c r="A10" s="8" t="s">
        <v>48</v>
      </c>
      <c r="B10" s="8"/>
      <c r="C10" s="8" t="s">
        <v>407</v>
      </c>
      <c r="D10" s="8"/>
      <c r="E10" s="8" t="s">
        <v>362</v>
      </c>
      <c r="F10" s="5">
        <v>-7.3674470000000003</v>
      </c>
      <c r="G10" s="5">
        <v>-76.600919000000005</v>
      </c>
      <c r="N10" s="17"/>
      <c r="O10" s="17"/>
      <c r="P10" s="17"/>
    </row>
    <row r="11" spans="1:16" x14ac:dyDescent="0.3">
      <c r="A11" s="8" t="s">
        <v>49</v>
      </c>
      <c r="B11" s="8"/>
      <c r="C11" s="8" t="s">
        <v>407</v>
      </c>
      <c r="D11" s="8"/>
      <c r="E11" s="8" t="s">
        <v>363</v>
      </c>
      <c r="F11" s="5">
        <v>-7.3680700000000003</v>
      </c>
      <c r="G11" s="5">
        <v>-76.599867000000003</v>
      </c>
      <c r="N11" s="17"/>
      <c r="O11" s="17"/>
      <c r="P11" s="17"/>
    </row>
    <row r="12" spans="1:16" x14ac:dyDescent="0.3">
      <c r="A12" s="8" t="s">
        <v>50</v>
      </c>
      <c r="C12" s="8" t="s">
        <v>405</v>
      </c>
      <c r="E12" s="8" t="s">
        <v>352</v>
      </c>
      <c r="F12" s="5">
        <v>-7.1253570000000002</v>
      </c>
      <c r="G12" s="5">
        <v>-76.652220999999997</v>
      </c>
      <c r="N12" s="17"/>
      <c r="O12" s="17"/>
      <c r="P12" s="17"/>
    </row>
    <row r="13" spans="1:16" x14ac:dyDescent="0.3">
      <c r="A13" s="8" t="s">
        <v>51</v>
      </c>
      <c r="C13" s="8" t="s">
        <v>405</v>
      </c>
      <c r="E13" t="s">
        <v>353</v>
      </c>
      <c r="F13" s="5">
        <v>-7.1280080000000003</v>
      </c>
      <c r="G13" s="5">
        <v>-76.649214000000001</v>
      </c>
      <c r="N13" s="17"/>
      <c r="O13" s="17"/>
      <c r="P13" s="17"/>
    </row>
    <row r="14" spans="1:16" x14ac:dyDescent="0.3">
      <c r="A14" s="8" t="s">
        <v>52</v>
      </c>
      <c r="C14" s="8" t="s">
        <v>405</v>
      </c>
      <c r="E14" t="s">
        <v>364</v>
      </c>
      <c r="F14" s="5">
        <v>-7.1245589999999996</v>
      </c>
      <c r="G14" s="5">
        <v>-76.651785000000004</v>
      </c>
      <c r="N14" s="17"/>
      <c r="O14" s="17"/>
      <c r="P14" s="17"/>
    </row>
    <row r="15" spans="1:16" x14ac:dyDescent="0.3">
      <c r="A15" s="8" t="s">
        <v>53</v>
      </c>
      <c r="C15" s="8" t="s">
        <v>405</v>
      </c>
      <c r="E15" t="s">
        <v>365</v>
      </c>
      <c r="F15">
        <v>-7.1253570000000002</v>
      </c>
      <c r="G15" s="5">
        <v>-76.652220999999997</v>
      </c>
      <c r="L15" s="17"/>
      <c r="N15" s="17"/>
      <c r="O15" s="17"/>
      <c r="P15" s="17"/>
    </row>
    <row r="16" spans="1:16" x14ac:dyDescent="0.3">
      <c r="A16" s="8" t="s">
        <v>54</v>
      </c>
      <c r="C16" t="s">
        <v>405</v>
      </c>
      <c r="E16" t="s">
        <v>366</v>
      </c>
      <c r="F16" s="5">
        <v>-7.1316309999999996</v>
      </c>
      <c r="G16" s="5">
        <v>-76.649664000000001</v>
      </c>
      <c r="N16" s="17"/>
      <c r="O16" s="17"/>
      <c r="P16" s="17"/>
    </row>
    <row r="17" spans="1:16" x14ac:dyDescent="0.3">
      <c r="A17" s="8" t="s">
        <v>55</v>
      </c>
      <c r="C17" s="8" t="s">
        <v>405</v>
      </c>
      <c r="E17" t="s">
        <v>367</v>
      </c>
      <c r="F17" s="5">
        <v>-7.1322559999999999</v>
      </c>
      <c r="G17" s="5">
        <v>-76.650487999999996</v>
      </c>
      <c r="L17" s="17"/>
      <c r="N17" s="17"/>
      <c r="O17" s="17"/>
      <c r="P17" s="17"/>
    </row>
    <row r="18" spans="1:16" x14ac:dyDescent="0.3">
      <c r="A18" s="8" t="s">
        <v>56</v>
      </c>
      <c r="C18" s="8" t="s">
        <v>406</v>
      </c>
      <c r="E18" t="s">
        <v>368</v>
      </c>
      <c r="F18" s="5">
        <v>-7.1583220000000001</v>
      </c>
      <c r="G18" s="5">
        <v>-76.665355000000005</v>
      </c>
      <c r="L18" s="17"/>
      <c r="N18" s="17"/>
      <c r="O18" s="17"/>
      <c r="P18" s="17"/>
    </row>
    <row r="19" spans="1:16" x14ac:dyDescent="0.3">
      <c r="A19" s="8" t="s">
        <v>57</v>
      </c>
      <c r="C19" s="8" t="s">
        <v>406</v>
      </c>
      <c r="E19" t="s">
        <v>369</v>
      </c>
      <c r="F19" s="5">
        <v>-7.1576009999999997</v>
      </c>
      <c r="G19">
        <v>-76.665368000000001</v>
      </c>
      <c r="N19" s="17"/>
      <c r="O19" s="17"/>
      <c r="P19" s="17"/>
    </row>
    <row r="20" spans="1:16" x14ac:dyDescent="0.3">
      <c r="A20" s="8" t="s">
        <v>58</v>
      </c>
      <c r="C20" s="8" t="s">
        <v>406</v>
      </c>
      <c r="E20" t="s">
        <v>370</v>
      </c>
      <c r="F20" s="5">
        <v>-7.1585279999999996</v>
      </c>
      <c r="G20">
        <f>-76.664585</f>
        <v>-76.664585000000002</v>
      </c>
      <c r="N20" s="17"/>
      <c r="O20" s="17"/>
      <c r="P20" s="17"/>
    </row>
    <row r="21" spans="1:16" x14ac:dyDescent="0.3">
      <c r="A21" s="8" t="s">
        <v>59</v>
      </c>
      <c r="C21" t="s">
        <v>379</v>
      </c>
      <c r="E21" t="s">
        <v>372</v>
      </c>
      <c r="F21" s="5">
        <v>-7.1585089999999996</v>
      </c>
      <c r="G21" s="5">
        <v>-76.664388000000002</v>
      </c>
      <c r="N21" s="17"/>
      <c r="O21" s="17"/>
      <c r="P21" s="17"/>
    </row>
    <row r="22" spans="1:16" x14ac:dyDescent="0.3">
      <c r="A22" s="8" t="s">
        <v>60</v>
      </c>
      <c r="C22" t="s">
        <v>406</v>
      </c>
      <c r="E22" t="s">
        <v>371</v>
      </c>
      <c r="F22">
        <v>-7.1615789999999997</v>
      </c>
      <c r="G22" s="5">
        <v>-76.665266000000003</v>
      </c>
      <c r="N22" s="17"/>
      <c r="O22" s="17"/>
      <c r="P22" s="17"/>
    </row>
    <row r="23" spans="1:16" x14ac:dyDescent="0.3">
      <c r="A23" s="8" t="s">
        <v>61</v>
      </c>
      <c r="C23" s="8" t="s">
        <v>379</v>
      </c>
      <c r="E23" t="s">
        <v>375</v>
      </c>
      <c r="F23" s="5">
        <v>-7.1757460000000002</v>
      </c>
      <c r="G23" s="5">
        <v>-76.688271</v>
      </c>
      <c r="N23" s="17"/>
      <c r="O23" s="17"/>
      <c r="P23" s="17"/>
    </row>
    <row r="24" spans="1:16" x14ac:dyDescent="0.3">
      <c r="A24" s="8" t="s">
        <v>62</v>
      </c>
      <c r="C24" s="8" t="s">
        <v>379</v>
      </c>
      <c r="E24" t="s">
        <v>373</v>
      </c>
      <c r="F24" s="5">
        <v>-7.1762319999999997</v>
      </c>
      <c r="G24" s="5">
        <v>-76.688446999999996</v>
      </c>
      <c r="N24" s="17"/>
      <c r="O24" s="17"/>
      <c r="P24" s="17"/>
    </row>
    <row r="25" spans="1:16" x14ac:dyDescent="0.3">
      <c r="A25" s="8" t="s">
        <v>63</v>
      </c>
      <c r="C25" s="8" t="s">
        <v>405</v>
      </c>
      <c r="E25" t="s">
        <v>374</v>
      </c>
      <c r="F25" s="5">
        <v>-7.1269640000000001</v>
      </c>
      <c r="G25" s="5">
        <v>-76.647773000000001</v>
      </c>
      <c r="N25" s="17"/>
      <c r="O25" s="17"/>
      <c r="P25" s="17"/>
    </row>
    <row r="26" spans="1:16" x14ac:dyDescent="0.3">
      <c r="A26" s="8" t="s">
        <v>64</v>
      </c>
      <c r="C26" s="8" t="s">
        <v>454</v>
      </c>
      <c r="E26" t="s">
        <v>376</v>
      </c>
      <c r="F26" s="5">
        <v>-7.2740559999999999</v>
      </c>
      <c r="G26" s="5">
        <v>-76.672033999999996</v>
      </c>
      <c r="N26" s="17"/>
      <c r="O26" s="17"/>
      <c r="P26" s="17"/>
    </row>
    <row r="27" spans="1:16" x14ac:dyDescent="0.3">
      <c r="A27" s="8" t="s">
        <v>65</v>
      </c>
      <c r="C27" s="8" t="s">
        <v>455</v>
      </c>
      <c r="E27" t="s">
        <v>377</v>
      </c>
      <c r="F27" s="5">
        <v>-7.2125589999999997</v>
      </c>
      <c r="G27" s="5">
        <v>-76.720280000000002</v>
      </c>
      <c r="N27" s="17"/>
      <c r="O27" s="17"/>
      <c r="P27" s="17"/>
    </row>
    <row r="28" spans="1:16" x14ac:dyDescent="0.3">
      <c r="A28" s="8" t="s">
        <v>66</v>
      </c>
      <c r="C28" s="8" t="s">
        <v>379</v>
      </c>
      <c r="E28" t="s">
        <v>378</v>
      </c>
      <c r="F28" s="5">
        <v>-7.1844510000000001</v>
      </c>
      <c r="G28" s="5">
        <v>-76.696449000000001</v>
      </c>
      <c r="N28" s="17"/>
      <c r="O28" s="17"/>
      <c r="P28" s="17"/>
    </row>
    <row r="29" spans="1:16" x14ac:dyDescent="0.3">
      <c r="A29" s="8" t="s">
        <v>67</v>
      </c>
      <c r="C29" s="8" t="s">
        <v>454</v>
      </c>
      <c r="E29" t="s">
        <v>430</v>
      </c>
      <c r="F29" s="5">
        <v>-7.2511369999999999</v>
      </c>
      <c r="G29">
        <f>-76.692573</f>
        <v>-76.692572999999996</v>
      </c>
      <c r="N29" s="17"/>
      <c r="O29" s="17"/>
      <c r="P29" s="17"/>
    </row>
    <row r="30" spans="1:16" x14ac:dyDescent="0.3">
      <c r="A30" s="8" t="s">
        <v>68</v>
      </c>
      <c r="C30" s="8" t="s">
        <v>408</v>
      </c>
      <c r="E30" t="s">
        <v>431</v>
      </c>
      <c r="F30" s="5">
        <v>-7.3054230000000002</v>
      </c>
      <c r="G30">
        <f>-76.65265</f>
        <v>-76.652649999999994</v>
      </c>
      <c r="N30" s="17"/>
      <c r="O30" s="17"/>
      <c r="P30" s="17"/>
    </row>
    <row r="31" spans="1:16" x14ac:dyDescent="0.3">
      <c r="A31" s="8" t="s">
        <v>69</v>
      </c>
      <c r="C31" s="8" t="s">
        <v>405</v>
      </c>
      <c r="E31" t="s">
        <v>432</v>
      </c>
      <c r="F31" s="5">
        <v>-7.1273369999999998</v>
      </c>
      <c r="G31" s="5">
        <v>-76.64837</v>
      </c>
      <c r="N31" s="17"/>
      <c r="O31" s="17"/>
      <c r="P31" s="17"/>
    </row>
    <row r="32" spans="1:16" x14ac:dyDescent="0.3">
      <c r="A32" s="8"/>
      <c r="N32" s="17"/>
      <c r="O32" s="17"/>
      <c r="P32" s="17"/>
    </row>
    <row r="33" spans="14:16" x14ac:dyDescent="0.3">
      <c r="N33" s="17"/>
      <c r="O33" s="17"/>
      <c r="P33" s="17"/>
    </row>
    <row r="34" spans="14:16" x14ac:dyDescent="0.3">
      <c r="N34" s="17"/>
      <c r="O34" s="17"/>
      <c r="P34" s="17"/>
    </row>
    <row r="35" spans="14:16" x14ac:dyDescent="0.3">
      <c r="N35" s="17"/>
      <c r="O35" s="17"/>
      <c r="P35" s="17"/>
    </row>
    <row r="36" spans="14:16" x14ac:dyDescent="0.3">
      <c r="N36" s="17"/>
      <c r="O36" s="17"/>
      <c r="P36" s="17"/>
    </row>
  </sheetData>
  <autoFilter ref="A1:H32"/>
  <sortState ref="C2:C36">
    <sortCondition ref="C2:C36" customList="LEDOY,VIVERES,PAJARILLO,SAN JOSE DE JUÑAO,BAJO JUÑAO,DOS UNIDOS,COSTA RICA,SOLEDAD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16" zoomScale="70" zoomScaleNormal="70" workbookViewId="0">
      <selection activeCell="C40" sqref="C40"/>
    </sheetView>
  </sheetViews>
  <sheetFormatPr baseColWidth="10" defaultRowHeight="15.6" x14ac:dyDescent="0.3"/>
  <cols>
    <col min="3" max="3" width="15.296875" customWidth="1"/>
    <col min="5" max="5" width="20" customWidth="1"/>
    <col min="8" max="8" width="18.69921875" style="17" customWidth="1"/>
  </cols>
  <sheetData>
    <row r="1" spans="1:8" ht="18.600000000000001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132</v>
      </c>
    </row>
    <row r="2" spans="1:8" ht="16.2" thickTop="1" x14ac:dyDescent="0.3">
      <c r="A2" s="8" t="s">
        <v>8</v>
      </c>
      <c r="B2" s="10"/>
      <c r="C2" s="8" t="s">
        <v>41</v>
      </c>
      <c r="D2" s="8"/>
      <c r="E2" s="8" t="s">
        <v>136</v>
      </c>
      <c r="F2" s="4">
        <v>-7.0706410000000002</v>
      </c>
      <c r="G2" s="5">
        <v>-76.579042000000001</v>
      </c>
      <c r="H2" s="16"/>
    </row>
    <row r="3" spans="1:8" x14ac:dyDescent="0.3">
      <c r="A3" s="8" t="s">
        <v>42</v>
      </c>
      <c r="B3" s="8"/>
      <c r="C3" s="8" t="s">
        <v>133</v>
      </c>
      <c r="D3" s="8"/>
      <c r="E3" s="8" t="s">
        <v>135</v>
      </c>
      <c r="F3" s="5">
        <v>-7.2556330000000004</v>
      </c>
      <c r="G3" s="9">
        <v>-76.736085000000003</v>
      </c>
      <c r="H3" s="16"/>
    </row>
    <row r="4" spans="1:8" x14ac:dyDescent="0.3">
      <c r="A4" s="8" t="s">
        <v>43</v>
      </c>
      <c r="B4" s="8"/>
      <c r="C4" s="8" t="s">
        <v>133</v>
      </c>
      <c r="D4" s="8"/>
      <c r="E4" s="8" t="s">
        <v>134</v>
      </c>
      <c r="F4" s="5">
        <v>-7.259207</v>
      </c>
      <c r="G4" s="9">
        <v>-76.735181999999995</v>
      </c>
      <c r="H4" s="16"/>
    </row>
    <row r="5" spans="1:8" x14ac:dyDescent="0.3">
      <c r="A5" s="8" t="s">
        <v>44</v>
      </c>
      <c r="B5" s="8"/>
      <c r="C5" s="8" t="s">
        <v>133</v>
      </c>
      <c r="D5" s="8"/>
      <c r="E5" s="8" t="s">
        <v>139</v>
      </c>
      <c r="F5" s="5">
        <v>-7.2620300000000002</v>
      </c>
      <c r="G5" s="9">
        <v>-76.734650000000002</v>
      </c>
      <c r="H5" s="16"/>
    </row>
    <row r="6" spans="1:8" x14ac:dyDescent="0.3">
      <c r="A6" s="8" t="s">
        <v>90</v>
      </c>
      <c r="B6" s="8"/>
      <c r="C6" s="8" t="s">
        <v>137</v>
      </c>
      <c r="D6" s="8"/>
      <c r="E6" s="8" t="s">
        <v>138</v>
      </c>
      <c r="F6" s="8">
        <v>-7.3585279999999997</v>
      </c>
      <c r="G6" s="8">
        <v>-76.671319999999994</v>
      </c>
      <c r="H6" s="16"/>
    </row>
    <row r="7" spans="1:8" s="8" customFormat="1" x14ac:dyDescent="0.3">
      <c r="A7" s="8" t="s">
        <v>45</v>
      </c>
      <c r="C7" s="8" t="s">
        <v>137</v>
      </c>
      <c r="E7" s="8" t="s">
        <v>140</v>
      </c>
      <c r="F7" s="5">
        <v>-7.3591870000000004</v>
      </c>
      <c r="G7" s="8">
        <f>-76.670985</f>
        <v>-76.670985000000002</v>
      </c>
      <c r="H7" s="16"/>
    </row>
    <row r="8" spans="1:8" x14ac:dyDescent="0.3">
      <c r="A8" s="8" t="s">
        <v>46</v>
      </c>
      <c r="B8" s="8"/>
      <c r="C8" s="8" t="s">
        <v>142</v>
      </c>
      <c r="D8" s="8"/>
      <c r="E8" s="8" t="s">
        <v>141</v>
      </c>
      <c r="F8" s="5">
        <v>-7.3430809999999997</v>
      </c>
      <c r="G8" s="9">
        <v>-76.681573</v>
      </c>
      <c r="H8" s="16"/>
    </row>
    <row r="9" spans="1:8" s="8" customFormat="1" x14ac:dyDescent="0.3">
      <c r="A9" s="8" t="s">
        <v>47</v>
      </c>
      <c r="C9" s="8" t="s">
        <v>143</v>
      </c>
      <c r="E9" s="8" t="s">
        <v>144</v>
      </c>
      <c r="F9" s="5">
        <v>-7.2960779999999996</v>
      </c>
      <c r="G9" s="9">
        <v>-76.771208000000001</v>
      </c>
      <c r="H9" s="16"/>
    </row>
    <row r="10" spans="1:8" s="8" customFormat="1" x14ac:dyDescent="0.3">
      <c r="A10" s="8" t="s">
        <v>48</v>
      </c>
      <c r="C10" s="8" t="s">
        <v>143</v>
      </c>
      <c r="E10" s="8" t="s">
        <v>145</v>
      </c>
      <c r="F10" s="5">
        <v>-7.295452</v>
      </c>
      <c r="G10" s="9">
        <v>-76.770926000000003</v>
      </c>
      <c r="H10" s="16"/>
    </row>
    <row r="11" spans="1:8" s="8" customFormat="1" x14ac:dyDescent="0.3">
      <c r="A11" s="8" t="s">
        <v>49</v>
      </c>
      <c r="C11" s="8" t="s">
        <v>143</v>
      </c>
      <c r="E11" s="8" t="s">
        <v>146</v>
      </c>
      <c r="F11" s="5">
        <v>-7.2966949999999997</v>
      </c>
      <c r="G11" s="9">
        <v>-76.771482000000006</v>
      </c>
      <c r="H11" s="16"/>
    </row>
    <row r="12" spans="1:8" s="8" customFormat="1" x14ac:dyDescent="0.3">
      <c r="A12" s="8" t="s">
        <v>50</v>
      </c>
      <c r="C12" s="8" t="s">
        <v>143</v>
      </c>
      <c r="E12" s="8" t="s">
        <v>147</v>
      </c>
      <c r="F12" s="8">
        <v>-7.2969739999999996</v>
      </c>
      <c r="G12" s="9">
        <v>-76.772790999999998</v>
      </c>
      <c r="H12" s="16"/>
    </row>
    <row r="13" spans="1:8" s="8" customFormat="1" x14ac:dyDescent="0.3">
      <c r="A13" s="8" t="s">
        <v>51</v>
      </c>
      <c r="C13" s="8" t="s">
        <v>143</v>
      </c>
      <c r="E13" s="8" t="s">
        <v>148</v>
      </c>
      <c r="F13" s="5">
        <v>-7.2988470000000003</v>
      </c>
      <c r="G13" s="9">
        <v>-76.774688999999995</v>
      </c>
      <c r="H13" s="16"/>
    </row>
    <row r="14" spans="1:8" s="8" customFormat="1" x14ac:dyDescent="0.3">
      <c r="A14" s="8" t="s">
        <v>52</v>
      </c>
      <c r="C14" s="8" t="s">
        <v>143</v>
      </c>
      <c r="E14" s="8" t="s">
        <v>149</v>
      </c>
      <c r="F14" s="5">
        <v>-7.2987820000000001</v>
      </c>
      <c r="G14" s="9">
        <v>-76.774979999999999</v>
      </c>
      <c r="H14" s="16"/>
    </row>
    <row r="15" spans="1:8" s="8" customFormat="1" x14ac:dyDescent="0.3">
      <c r="A15" s="8" t="s">
        <v>53</v>
      </c>
      <c r="C15" s="8" t="s">
        <v>150</v>
      </c>
      <c r="E15" s="8" t="s">
        <v>151</v>
      </c>
      <c r="F15" s="5">
        <v>-7.31778</v>
      </c>
      <c r="G15" s="9">
        <v>-76.777850000000001</v>
      </c>
      <c r="H15" s="16"/>
    </row>
    <row r="16" spans="1:8" s="8" customFormat="1" x14ac:dyDescent="0.3">
      <c r="A16" s="8" t="s">
        <v>54</v>
      </c>
      <c r="C16" s="8" t="s">
        <v>150</v>
      </c>
      <c r="E16" s="8" t="s">
        <v>152</v>
      </c>
      <c r="F16" s="8">
        <v>-7.3201260000000001</v>
      </c>
      <c r="G16" s="8">
        <v>-76.777062999999998</v>
      </c>
      <c r="H16" s="16"/>
    </row>
    <row r="17" spans="1:8" x14ac:dyDescent="0.3">
      <c r="A17" s="8" t="s">
        <v>55</v>
      </c>
      <c r="C17" s="8" t="s">
        <v>96</v>
      </c>
      <c r="E17" s="8" t="s">
        <v>288</v>
      </c>
      <c r="F17" s="5">
        <v>-7.1680570000000001</v>
      </c>
      <c r="G17" s="9">
        <v>-76.736908999999997</v>
      </c>
    </row>
    <row r="18" spans="1:8" x14ac:dyDescent="0.3">
      <c r="A18" s="8" t="s">
        <v>56</v>
      </c>
      <c r="C18" s="8" t="s">
        <v>96</v>
      </c>
      <c r="E18" s="8" t="s">
        <v>289</v>
      </c>
      <c r="F18" s="5">
        <v>-7.1676209999999996</v>
      </c>
      <c r="G18" s="9">
        <v>-76.734802999999999</v>
      </c>
    </row>
    <row r="19" spans="1:8" x14ac:dyDescent="0.3">
      <c r="A19" s="8" t="s">
        <v>57</v>
      </c>
      <c r="C19" s="8" t="s">
        <v>393</v>
      </c>
      <c r="E19" s="8" t="s">
        <v>290</v>
      </c>
      <c r="F19" s="5">
        <v>-7.2093850000000002</v>
      </c>
      <c r="G19" s="9">
        <v>-76.737482999999997</v>
      </c>
    </row>
    <row r="20" spans="1:8" x14ac:dyDescent="0.3">
      <c r="A20" s="8" t="s">
        <v>58</v>
      </c>
      <c r="C20" s="8" t="s">
        <v>292</v>
      </c>
      <c r="E20" s="8" t="s">
        <v>291</v>
      </c>
      <c r="F20" s="5">
        <v>-7.2981449999999999</v>
      </c>
      <c r="G20" s="9">
        <v>-76.773156</v>
      </c>
    </row>
    <row r="21" spans="1:8" x14ac:dyDescent="0.3">
      <c r="A21" s="8" t="s">
        <v>59</v>
      </c>
      <c r="C21" s="8" t="s">
        <v>143</v>
      </c>
      <c r="E21" s="8" t="s">
        <v>293</v>
      </c>
      <c r="F21">
        <v>-7.2984520000000002</v>
      </c>
      <c r="G21" s="9">
        <v>-76.773216000000005</v>
      </c>
    </row>
    <row r="22" spans="1:8" x14ac:dyDescent="0.3">
      <c r="A22" s="8" t="s">
        <v>60</v>
      </c>
      <c r="C22" s="8" t="s">
        <v>150</v>
      </c>
      <c r="E22" s="8" t="s">
        <v>294</v>
      </c>
      <c r="F22">
        <v>-7.3249089999999999</v>
      </c>
      <c r="G22" s="9">
        <v>-76.782742999999996</v>
      </c>
    </row>
    <row r="23" spans="1:8" x14ac:dyDescent="0.3">
      <c r="A23" s="8" t="s">
        <v>61</v>
      </c>
      <c r="C23" s="8" t="s">
        <v>150</v>
      </c>
      <c r="E23" s="8" t="s">
        <v>259</v>
      </c>
      <c r="F23" s="5">
        <v>-7.3196599999999998</v>
      </c>
      <c r="G23" s="9">
        <v>-76.778156999999993</v>
      </c>
    </row>
    <row r="24" spans="1:8" x14ac:dyDescent="0.3">
      <c r="A24" s="8" t="s">
        <v>62</v>
      </c>
      <c r="C24" s="8" t="s">
        <v>150</v>
      </c>
      <c r="E24" s="8" t="s">
        <v>295</v>
      </c>
      <c r="F24" s="5">
        <v>-7.317971</v>
      </c>
      <c r="G24" s="9">
        <v>-76.774319000000006</v>
      </c>
    </row>
    <row r="25" spans="1:8" x14ac:dyDescent="0.3">
      <c r="A25" s="8" t="s">
        <v>63</v>
      </c>
      <c r="C25" s="8" t="s">
        <v>133</v>
      </c>
      <c r="E25" s="8" t="s">
        <v>380</v>
      </c>
      <c r="F25" s="5">
        <v>-7.2601899999999997</v>
      </c>
      <c r="G25" s="9">
        <v>-76.735420000000005</v>
      </c>
      <c r="H25" s="18"/>
    </row>
    <row r="26" spans="1:8" x14ac:dyDescent="0.3">
      <c r="A26" s="8" t="s">
        <v>64</v>
      </c>
      <c r="C26" s="8" t="s">
        <v>150</v>
      </c>
      <c r="E26" s="8" t="s">
        <v>381</v>
      </c>
      <c r="F26" s="5">
        <v>-7.3161800000000001</v>
      </c>
      <c r="G26" s="9">
        <v>-76.780613000000002</v>
      </c>
    </row>
    <row r="27" spans="1:8" x14ac:dyDescent="0.3">
      <c r="A27" s="8" t="s">
        <v>65</v>
      </c>
      <c r="C27" s="8" t="s">
        <v>383</v>
      </c>
      <c r="E27" s="8" t="s">
        <v>382</v>
      </c>
      <c r="F27" s="5">
        <v>-7.1567439999999998</v>
      </c>
      <c r="G27" s="9">
        <v>-76.726298999999997</v>
      </c>
    </row>
    <row r="28" spans="1:8" x14ac:dyDescent="0.3">
      <c r="A28" s="8" t="s">
        <v>66</v>
      </c>
      <c r="C28" s="8" t="s">
        <v>383</v>
      </c>
      <c r="E28" s="8" t="s">
        <v>384</v>
      </c>
      <c r="F28" s="5">
        <v>-7.1585340000000004</v>
      </c>
      <c r="G28" s="9">
        <v>-76.728033999999994</v>
      </c>
    </row>
    <row r="29" spans="1:8" x14ac:dyDescent="0.3">
      <c r="A29" s="8" t="s">
        <v>67</v>
      </c>
      <c r="C29" s="8" t="s">
        <v>96</v>
      </c>
      <c r="E29" s="8" t="s">
        <v>385</v>
      </c>
      <c r="F29" s="8">
        <v>-7.1710580000000004</v>
      </c>
      <c r="G29" s="9">
        <v>-76.733885000000001</v>
      </c>
    </row>
    <row r="30" spans="1:8" x14ac:dyDescent="0.3">
      <c r="A30" s="8" t="s">
        <v>68</v>
      </c>
      <c r="C30" s="8" t="s">
        <v>387</v>
      </c>
      <c r="E30" s="8" t="s">
        <v>386</v>
      </c>
      <c r="F30" s="5">
        <v>-7.1762199999999998</v>
      </c>
      <c r="G30" s="9">
        <v>-76.738543000000007</v>
      </c>
    </row>
    <row r="31" spans="1:8" x14ac:dyDescent="0.3">
      <c r="A31" s="8" t="s">
        <v>69</v>
      </c>
      <c r="C31" s="8" t="s">
        <v>387</v>
      </c>
      <c r="E31" s="8" t="s">
        <v>388</v>
      </c>
      <c r="F31" s="5">
        <v>-7.1744969999999997</v>
      </c>
      <c r="G31" s="9">
        <v>-76.739745999999997</v>
      </c>
    </row>
    <row r="32" spans="1:8" x14ac:dyDescent="0.3">
      <c r="A32" s="8" t="s">
        <v>70</v>
      </c>
      <c r="C32" s="8" t="s">
        <v>387</v>
      </c>
      <c r="E32" s="8" t="s">
        <v>389</v>
      </c>
      <c r="F32" s="5">
        <v>-7.1766100000000002</v>
      </c>
      <c r="G32">
        <f>-76.739265</f>
        <v>-76.739265000000003</v>
      </c>
    </row>
    <row r="33" spans="1:7" x14ac:dyDescent="0.3">
      <c r="A33" s="8" t="s">
        <v>71</v>
      </c>
      <c r="C33" s="8" t="s">
        <v>391</v>
      </c>
      <c r="E33" s="8" t="s">
        <v>390</v>
      </c>
      <c r="F33" s="5">
        <v>-7.1887619999999997</v>
      </c>
      <c r="G33" s="9">
        <v>-76.733277000000001</v>
      </c>
    </row>
    <row r="34" spans="1:7" x14ac:dyDescent="0.3">
      <c r="A34" s="8" t="s">
        <v>72</v>
      </c>
      <c r="C34" s="8" t="s">
        <v>393</v>
      </c>
      <c r="E34" s="8" t="s">
        <v>392</v>
      </c>
      <c r="F34">
        <v>-7.2093769999999999</v>
      </c>
      <c r="G34" s="9">
        <v>-76.737606</v>
      </c>
    </row>
    <row r="35" spans="1:7" x14ac:dyDescent="0.3">
      <c r="A35" s="8" t="s">
        <v>73</v>
      </c>
      <c r="C35" s="8" t="s">
        <v>393</v>
      </c>
      <c r="E35" s="8" t="s">
        <v>394</v>
      </c>
      <c r="F35" s="5">
        <v>-7.208799</v>
      </c>
      <c r="G35" s="9">
        <v>-76.737413000000004</v>
      </c>
    </row>
    <row r="36" spans="1:7" x14ac:dyDescent="0.3">
      <c r="A36" s="8" t="s">
        <v>74</v>
      </c>
      <c r="C36" s="8" t="s">
        <v>143</v>
      </c>
      <c r="E36" s="8" t="s">
        <v>395</v>
      </c>
      <c r="F36" s="5">
        <v>-7.2972429999999999</v>
      </c>
      <c r="G36" s="9">
        <v>-7.2972429999999999</v>
      </c>
    </row>
    <row r="37" spans="1:7" x14ac:dyDescent="0.3">
      <c r="A37" s="8" t="s">
        <v>75</v>
      </c>
      <c r="C37" s="8" t="s">
        <v>150</v>
      </c>
      <c r="E37" s="8" t="s">
        <v>396</v>
      </c>
      <c r="F37" s="5">
        <v>-7.3173529999999998</v>
      </c>
      <c r="G37" s="9">
        <v>-76.775013000000001</v>
      </c>
    </row>
    <row r="38" spans="1:7" x14ac:dyDescent="0.3">
      <c r="A38" s="8" t="s">
        <v>76</v>
      </c>
      <c r="C38" s="8" t="s">
        <v>150</v>
      </c>
      <c r="E38" s="8" t="s">
        <v>397</v>
      </c>
      <c r="F38" s="5">
        <v>-7.3195249999999996</v>
      </c>
      <c r="G38" s="9">
        <v>-76.777224000000004</v>
      </c>
    </row>
    <row r="39" spans="1:7" x14ac:dyDescent="0.3">
      <c r="A39" s="8" t="s">
        <v>77</v>
      </c>
      <c r="C39" s="8" t="s">
        <v>150</v>
      </c>
      <c r="E39" s="8" t="s">
        <v>398</v>
      </c>
      <c r="F39" s="5">
        <v>-7.3197960000000002</v>
      </c>
      <c r="G39" s="9">
        <v>-76.778394000000006</v>
      </c>
    </row>
    <row r="40" spans="1:7" x14ac:dyDescent="0.3">
      <c r="A40" s="8" t="s">
        <v>78</v>
      </c>
      <c r="C40" s="8" t="s">
        <v>150</v>
      </c>
      <c r="E40" s="8" t="s">
        <v>399</v>
      </c>
      <c r="F40" s="5">
        <v>-7.3234260000000004</v>
      </c>
      <c r="G40" s="9">
        <v>-76.779697999999996</v>
      </c>
    </row>
    <row r="41" spans="1:7" x14ac:dyDescent="0.3">
      <c r="A41" s="8" t="s">
        <v>79</v>
      </c>
      <c r="C41" s="8" t="s">
        <v>403</v>
      </c>
      <c r="E41" s="8" t="s">
        <v>402</v>
      </c>
      <c r="F41" s="8">
        <v>-7.1880230000000003</v>
      </c>
      <c r="G41" s="8">
        <v>-76.731993000000003</v>
      </c>
    </row>
    <row r="42" spans="1:7" x14ac:dyDescent="0.3">
      <c r="A42" s="8" t="s">
        <v>80</v>
      </c>
      <c r="C42" s="8" t="s">
        <v>457</v>
      </c>
      <c r="E42" s="8" t="s">
        <v>456</v>
      </c>
      <c r="F42">
        <v>-7.1651309999999997</v>
      </c>
      <c r="G42" s="9">
        <v>-76.727886999999996</v>
      </c>
    </row>
  </sheetData>
  <autoFilter ref="A1:H4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opLeftCell="A49" zoomScale="85" zoomScaleNormal="85" workbookViewId="0">
      <selection activeCell="H1" sqref="H1"/>
    </sheetView>
  </sheetViews>
  <sheetFormatPr baseColWidth="10" defaultRowHeight="15.6" x14ac:dyDescent="0.3"/>
  <cols>
    <col min="3" max="3" width="20.09765625" customWidth="1"/>
    <col min="5" max="5" width="21.59765625" customWidth="1"/>
    <col min="8" max="8" width="22.59765625" customWidth="1"/>
  </cols>
  <sheetData>
    <row r="1" spans="1:8" ht="18.600000000000001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132</v>
      </c>
    </row>
    <row r="2" spans="1:8" ht="16.2" thickTop="1" x14ac:dyDescent="0.3">
      <c r="A2" s="8" t="s">
        <v>8</v>
      </c>
      <c r="B2" s="8"/>
      <c r="C2" s="8" t="s">
        <v>92</v>
      </c>
      <c r="D2" s="8"/>
      <c r="E2" s="8" t="s">
        <v>215</v>
      </c>
      <c r="F2" s="9">
        <v>-6.9416419999999999</v>
      </c>
      <c r="G2" s="8">
        <f>-76.556527</f>
        <v>-76.556527000000003</v>
      </c>
    </row>
    <row r="3" spans="1:8" x14ac:dyDescent="0.3">
      <c r="A3" s="8" t="s">
        <v>42</v>
      </c>
      <c r="B3" s="8"/>
      <c r="C3" s="8" t="s">
        <v>92</v>
      </c>
      <c r="D3" s="8"/>
      <c r="E3" s="8" t="s">
        <v>214</v>
      </c>
      <c r="F3" s="9">
        <v>-6.9413689999999999</v>
      </c>
      <c r="G3" s="9">
        <v>-76.555262999999997</v>
      </c>
    </row>
    <row r="4" spans="1:8" x14ac:dyDescent="0.3">
      <c r="A4" s="8" t="s">
        <v>43</v>
      </c>
      <c r="B4" s="8"/>
      <c r="C4" s="8" t="s">
        <v>92</v>
      </c>
      <c r="D4" s="8"/>
      <c r="E4" s="8" t="s">
        <v>213</v>
      </c>
      <c r="F4" s="9">
        <v>-6.9411329999999998</v>
      </c>
      <c r="G4" s="8">
        <f>-76.555305</f>
        <v>-76.555305000000004</v>
      </c>
    </row>
    <row r="5" spans="1:8" x14ac:dyDescent="0.3">
      <c r="A5" s="8" t="s">
        <v>44</v>
      </c>
      <c r="B5" s="8"/>
      <c r="C5" s="8" t="s">
        <v>92</v>
      </c>
      <c r="D5" s="8"/>
      <c r="E5" s="8" t="s">
        <v>212</v>
      </c>
      <c r="F5" s="9">
        <v>-6.9410509999999999</v>
      </c>
      <c r="G5" s="9">
        <v>-76.556571000000005</v>
      </c>
    </row>
    <row r="6" spans="1:8" x14ac:dyDescent="0.3">
      <c r="A6" s="8" t="s">
        <v>90</v>
      </c>
      <c r="B6" s="8"/>
      <c r="C6" s="8" t="s">
        <v>93</v>
      </c>
      <c r="D6" s="8"/>
      <c r="E6" s="8" t="s">
        <v>211</v>
      </c>
      <c r="F6" s="9">
        <v>-6.8905130000000003</v>
      </c>
      <c r="G6" s="8">
        <v>-76.571630999999996</v>
      </c>
    </row>
    <row r="7" spans="1:8" s="8" customFormat="1" x14ac:dyDescent="0.3">
      <c r="A7" s="8" t="s">
        <v>45</v>
      </c>
      <c r="C7" s="8" t="s">
        <v>93</v>
      </c>
      <c r="E7" s="8" t="s">
        <v>210</v>
      </c>
      <c r="F7" s="9">
        <v>-6.8901760000000003</v>
      </c>
      <c r="G7" s="9">
        <v>-76.571713000000003</v>
      </c>
    </row>
    <row r="8" spans="1:8" x14ac:dyDescent="0.3">
      <c r="A8" s="8" t="s">
        <v>46</v>
      </c>
      <c r="B8" s="8"/>
      <c r="C8" s="8" t="s">
        <v>94</v>
      </c>
      <c r="D8" s="8"/>
      <c r="E8" s="8" t="s">
        <v>209</v>
      </c>
      <c r="F8" s="9">
        <v>-6.8315650000000003</v>
      </c>
      <c r="G8" s="8">
        <v>-76.575419999999994</v>
      </c>
    </row>
    <row r="9" spans="1:8" x14ac:dyDescent="0.3">
      <c r="A9" s="8" t="s">
        <v>47</v>
      </c>
      <c r="B9" s="8"/>
      <c r="C9" s="8" t="s">
        <v>94</v>
      </c>
      <c r="D9" s="8"/>
      <c r="E9" s="8" t="s">
        <v>208</v>
      </c>
      <c r="F9" s="8">
        <v>-6.8217780000000001</v>
      </c>
      <c r="G9" s="8">
        <f>-76.58151</f>
        <v>-76.581509999999994</v>
      </c>
    </row>
    <row r="10" spans="1:8" x14ac:dyDescent="0.3">
      <c r="A10" s="8" t="s">
        <v>48</v>
      </c>
      <c r="B10" s="8"/>
      <c r="C10" s="8" t="s">
        <v>94</v>
      </c>
      <c r="D10" s="8"/>
      <c r="E10" s="8" t="s">
        <v>207</v>
      </c>
      <c r="F10" s="9">
        <v>-6.8206340000000001</v>
      </c>
      <c r="G10" s="8">
        <v>-76.576604000000003</v>
      </c>
    </row>
    <row r="11" spans="1:8" x14ac:dyDescent="0.3">
      <c r="A11" s="8" t="s">
        <v>49</v>
      </c>
      <c r="B11" s="8"/>
      <c r="C11" s="8" t="s">
        <v>94</v>
      </c>
      <c r="D11" s="8"/>
      <c r="E11" s="8" t="s">
        <v>206</v>
      </c>
      <c r="F11" s="9">
        <v>-6.820004</v>
      </c>
      <c r="G11" s="8">
        <v>-76.575191000000004</v>
      </c>
    </row>
    <row r="12" spans="1:8" x14ac:dyDescent="0.3">
      <c r="A12" s="8" t="s">
        <v>50</v>
      </c>
      <c r="B12" s="8"/>
      <c r="C12" s="8" t="s">
        <v>94</v>
      </c>
      <c r="D12" s="8"/>
      <c r="E12" s="8" t="s">
        <v>205</v>
      </c>
      <c r="F12" s="9">
        <v>-6.8132390000000003</v>
      </c>
      <c r="G12" s="8">
        <v>-76.576070000000001</v>
      </c>
    </row>
    <row r="13" spans="1:8" x14ac:dyDescent="0.3">
      <c r="A13" s="8" t="s">
        <v>51</v>
      </c>
      <c r="B13" s="8"/>
      <c r="C13" s="8" t="s">
        <v>94</v>
      </c>
      <c r="D13" s="8"/>
      <c r="E13" s="8" t="s">
        <v>204</v>
      </c>
      <c r="F13" s="9">
        <v>-6.8120960000000004</v>
      </c>
      <c r="G13" s="8">
        <v>-76.577236999999997</v>
      </c>
    </row>
    <row r="14" spans="1:8" x14ac:dyDescent="0.3">
      <c r="A14" s="8" t="s">
        <v>52</v>
      </c>
      <c r="B14" s="8"/>
      <c r="C14" s="8" t="s">
        <v>298</v>
      </c>
      <c r="D14" s="8"/>
      <c r="E14" s="8" t="s">
        <v>203</v>
      </c>
      <c r="F14" s="9">
        <v>-6.8094859999999997</v>
      </c>
      <c r="G14" s="8">
        <f>-76.575741</f>
        <v>-76.575740999999994</v>
      </c>
    </row>
    <row r="15" spans="1:8" s="8" customFormat="1" x14ac:dyDescent="0.3">
      <c r="A15" s="8" t="s">
        <v>53</v>
      </c>
      <c r="C15" s="8" t="s">
        <v>94</v>
      </c>
      <c r="E15" s="8" t="s">
        <v>202</v>
      </c>
      <c r="F15" s="9">
        <v>-6.8224470000000004</v>
      </c>
      <c r="G15" s="8">
        <f>-76.577322</f>
        <v>-76.577321999999995</v>
      </c>
    </row>
    <row r="16" spans="1:8" x14ac:dyDescent="0.3">
      <c r="A16" s="8" t="s">
        <v>54</v>
      </c>
      <c r="B16" s="8"/>
      <c r="C16" s="8" t="s">
        <v>95</v>
      </c>
      <c r="D16" s="8"/>
      <c r="E16" s="8" t="s">
        <v>201</v>
      </c>
      <c r="F16" s="9">
        <v>-6.7931090000000003</v>
      </c>
      <c r="G16" s="8">
        <v>-76.640074999999996</v>
      </c>
    </row>
    <row r="17" spans="1:8" x14ac:dyDescent="0.3">
      <c r="A17" s="8" t="s">
        <v>55</v>
      </c>
      <c r="B17" s="8"/>
      <c r="C17" s="8" t="s">
        <v>96</v>
      </c>
      <c r="D17" s="8"/>
      <c r="E17" s="8" t="s">
        <v>200</v>
      </c>
      <c r="F17" s="8">
        <v>-6.7501959999999999</v>
      </c>
      <c r="G17" s="8">
        <v>-76.632760000000005</v>
      </c>
    </row>
    <row r="18" spans="1:8" x14ac:dyDescent="0.3">
      <c r="A18" s="8" t="s">
        <v>56</v>
      </c>
      <c r="B18" s="8"/>
      <c r="C18" s="8" t="s">
        <v>96</v>
      </c>
      <c r="D18" s="8"/>
      <c r="E18" s="8" t="s">
        <v>199</v>
      </c>
      <c r="F18" s="8">
        <v>-6.7498829999999996</v>
      </c>
      <c r="G18" s="8">
        <v>-76.632810000000006</v>
      </c>
    </row>
    <row r="19" spans="1:8" x14ac:dyDescent="0.3">
      <c r="A19" s="8" t="s">
        <v>57</v>
      </c>
      <c r="B19" s="8"/>
      <c r="C19" s="8" t="s">
        <v>97</v>
      </c>
      <c r="D19" s="8"/>
      <c r="E19" s="8" t="s">
        <v>198</v>
      </c>
      <c r="F19" s="8">
        <v>-6.7853700000000003</v>
      </c>
      <c r="G19" s="8">
        <v>-76.613709999999998</v>
      </c>
    </row>
    <row r="20" spans="1:8" x14ac:dyDescent="0.3">
      <c r="A20" s="8" t="s">
        <v>58</v>
      </c>
      <c r="C20" s="8" t="s">
        <v>92</v>
      </c>
      <c r="E20" s="8" t="s">
        <v>216</v>
      </c>
      <c r="F20" s="8">
        <v>-6.9415190000000004</v>
      </c>
      <c r="G20" s="8">
        <v>-76.556335000000004</v>
      </c>
    </row>
    <row r="21" spans="1:8" x14ac:dyDescent="0.3">
      <c r="A21" s="8" t="s">
        <v>59</v>
      </c>
      <c r="C21" s="8" t="s">
        <v>94</v>
      </c>
      <c r="E21" s="8" t="s">
        <v>217</v>
      </c>
      <c r="F21" s="8">
        <v>-6.8164100000000003</v>
      </c>
      <c r="G21">
        <f>-76.574843</f>
        <v>-76.574843000000001</v>
      </c>
    </row>
    <row r="22" spans="1:8" x14ac:dyDescent="0.3">
      <c r="A22" s="8" t="s">
        <v>60</v>
      </c>
      <c r="C22" s="8" t="s">
        <v>94</v>
      </c>
      <c r="E22" s="8" t="s">
        <v>218</v>
      </c>
      <c r="F22" s="8">
        <v>-6.8091929999999996</v>
      </c>
      <c r="G22">
        <f>-76.574954</f>
        <v>-76.574954000000005</v>
      </c>
    </row>
    <row r="23" spans="1:8" x14ac:dyDescent="0.3">
      <c r="A23" s="8" t="s">
        <v>61</v>
      </c>
      <c r="C23" s="8" t="s">
        <v>94</v>
      </c>
      <c r="E23" s="8" t="s">
        <v>219</v>
      </c>
      <c r="F23" s="8">
        <v>-6.8056289999999997</v>
      </c>
      <c r="G23">
        <v>-76.574591999999996</v>
      </c>
    </row>
    <row r="24" spans="1:8" x14ac:dyDescent="0.3">
      <c r="A24" s="8" t="s">
        <v>62</v>
      </c>
      <c r="C24" s="8" t="s">
        <v>95</v>
      </c>
      <c r="E24" s="8" t="s">
        <v>220</v>
      </c>
      <c r="F24" s="8">
        <v>-6.793069</v>
      </c>
      <c r="G24">
        <v>-76.639872999999994</v>
      </c>
    </row>
    <row r="25" spans="1:8" x14ac:dyDescent="0.3">
      <c r="A25" s="8" t="s">
        <v>63</v>
      </c>
      <c r="C25" s="8" t="s">
        <v>95</v>
      </c>
      <c r="E25" s="8" t="s">
        <v>221</v>
      </c>
      <c r="F25" s="8">
        <v>-6.791118</v>
      </c>
      <c r="G25">
        <v>-76.638694999999998</v>
      </c>
    </row>
    <row r="26" spans="1:8" x14ac:dyDescent="0.3">
      <c r="A26" s="8" t="s">
        <v>64</v>
      </c>
      <c r="C26" s="8" t="s">
        <v>94</v>
      </c>
      <c r="E26" s="8" t="s">
        <v>222</v>
      </c>
      <c r="F26" s="8">
        <v>-6.8250099999999998</v>
      </c>
      <c r="G26">
        <v>-76.576603000000006</v>
      </c>
    </row>
    <row r="27" spans="1:8" s="8" customFormat="1" x14ac:dyDescent="0.3">
      <c r="A27" s="8" t="s">
        <v>65</v>
      </c>
      <c r="C27" s="8" t="s">
        <v>95</v>
      </c>
      <c r="E27" s="8" t="s">
        <v>223</v>
      </c>
      <c r="F27" s="8">
        <v>-6.7914859999999999</v>
      </c>
      <c r="G27" s="8">
        <v>-76.638146000000006</v>
      </c>
    </row>
    <row r="28" spans="1:8" x14ac:dyDescent="0.3">
      <c r="A28" s="8" t="s">
        <v>66</v>
      </c>
      <c r="C28" s="8" t="s">
        <v>41</v>
      </c>
      <c r="E28" s="8" t="s">
        <v>224</v>
      </c>
      <c r="F28" s="8">
        <v>-7.0707040000000001</v>
      </c>
      <c r="G28" s="8">
        <v>-76.578997999999999</v>
      </c>
      <c r="H28" s="8"/>
    </row>
    <row r="29" spans="1:8" x14ac:dyDescent="0.3">
      <c r="A29" s="8" t="s">
        <v>67</v>
      </c>
      <c r="C29" s="8" t="s">
        <v>93</v>
      </c>
      <c r="E29" s="8" t="s">
        <v>232</v>
      </c>
      <c r="F29" s="8">
        <v>-6.8875609999999998</v>
      </c>
      <c r="G29" s="8">
        <v>-76.570672999999999</v>
      </c>
    </row>
    <row r="30" spans="1:8" x14ac:dyDescent="0.3">
      <c r="A30" s="8" t="s">
        <v>68</v>
      </c>
      <c r="C30" s="8" t="s">
        <v>94</v>
      </c>
      <c r="E30" s="8" t="s">
        <v>296</v>
      </c>
      <c r="F30" s="8">
        <v>-6.8216869999999998</v>
      </c>
      <c r="G30" s="8">
        <v>-76.576779999999999</v>
      </c>
    </row>
    <row r="31" spans="1:8" x14ac:dyDescent="0.3">
      <c r="A31" s="8" t="s">
        <v>69</v>
      </c>
      <c r="C31" s="8" t="s">
        <v>298</v>
      </c>
      <c r="E31" s="8" t="s">
        <v>297</v>
      </c>
      <c r="F31" s="8">
        <v>-6.811992</v>
      </c>
      <c r="G31" s="8">
        <v>-76.576245</v>
      </c>
    </row>
    <row r="32" spans="1:8" x14ac:dyDescent="0.3">
      <c r="A32" s="8" t="s">
        <v>70</v>
      </c>
      <c r="C32" s="8" t="s">
        <v>298</v>
      </c>
      <c r="E32" s="8" t="s">
        <v>299</v>
      </c>
      <c r="F32" s="8">
        <v>-6.8095140000000001</v>
      </c>
      <c r="G32" s="8">
        <v>-76.574485999999993</v>
      </c>
    </row>
    <row r="33" spans="1:15" x14ac:dyDescent="0.3">
      <c r="A33" s="8" t="s">
        <v>71</v>
      </c>
      <c r="C33" s="8" t="s">
        <v>298</v>
      </c>
      <c r="E33" s="8" t="s">
        <v>300</v>
      </c>
      <c r="F33" s="8">
        <v>-6.8079859999999996</v>
      </c>
      <c r="G33" s="8">
        <v>-76.574725000000001</v>
      </c>
    </row>
    <row r="34" spans="1:15" x14ac:dyDescent="0.3">
      <c r="A34" s="8" t="s">
        <v>72</v>
      </c>
      <c r="C34" s="8" t="s">
        <v>298</v>
      </c>
      <c r="E34" s="8" t="s">
        <v>301</v>
      </c>
      <c r="F34" s="8">
        <v>-6.8066529999999998</v>
      </c>
      <c r="G34" s="8">
        <v>-76.574177000000006</v>
      </c>
    </row>
    <row r="35" spans="1:15" x14ac:dyDescent="0.3">
      <c r="A35" s="8" t="s">
        <v>73</v>
      </c>
      <c r="C35" s="8" t="s">
        <v>96</v>
      </c>
      <c r="E35" s="8" t="s">
        <v>302</v>
      </c>
      <c r="F35" s="8">
        <v>-6.7502420000000001</v>
      </c>
      <c r="G35" s="8">
        <v>-76.632735999999994</v>
      </c>
    </row>
    <row r="36" spans="1:15" x14ac:dyDescent="0.3">
      <c r="A36" s="8" t="s">
        <v>74</v>
      </c>
      <c r="C36" s="8" t="s">
        <v>304</v>
      </c>
      <c r="E36" s="8" t="s">
        <v>303</v>
      </c>
      <c r="F36" s="8">
        <v>-6.6726390000000002</v>
      </c>
      <c r="G36" s="8">
        <v>-76.622766999999996</v>
      </c>
    </row>
    <row r="37" spans="1:15" x14ac:dyDescent="0.3">
      <c r="A37" s="8" t="s">
        <v>75</v>
      </c>
      <c r="C37" s="8" t="s">
        <v>304</v>
      </c>
      <c r="E37" s="8" t="s">
        <v>305</v>
      </c>
      <c r="F37" s="8">
        <v>-6.6751579999999997</v>
      </c>
      <c r="G37" s="8">
        <v>-76.623047</v>
      </c>
    </row>
    <row r="38" spans="1:15" x14ac:dyDescent="0.3">
      <c r="A38" s="8" t="s">
        <v>76</v>
      </c>
      <c r="C38" s="8" t="s">
        <v>94</v>
      </c>
      <c r="E38" s="8" t="s">
        <v>400</v>
      </c>
      <c r="F38" s="8">
        <v>-6.8212460000000004</v>
      </c>
      <c r="G38" s="8">
        <v>-76.575339999999997</v>
      </c>
    </row>
    <row r="39" spans="1:15" x14ac:dyDescent="0.3">
      <c r="A39" s="11" t="s">
        <v>77</v>
      </c>
      <c r="B39" s="33"/>
      <c r="C39" s="11" t="s">
        <v>94</v>
      </c>
      <c r="D39" s="33"/>
      <c r="E39" s="11" t="s">
        <v>401</v>
      </c>
      <c r="F39" s="11">
        <v>-6.8094770000000002</v>
      </c>
      <c r="G39" s="11">
        <v>-76.573864999999998</v>
      </c>
    </row>
    <row r="40" spans="1:15" x14ac:dyDescent="0.3">
      <c r="A40" s="11" t="s">
        <v>8</v>
      </c>
      <c r="B40" s="34"/>
      <c r="C40" s="11" t="s">
        <v>41</v>
      </c>
      <c r="D40" s="11"/>
      <c r="E40" s="11" t="s">
        <v>136</v>
      </c>
      <c r="F40" s="35">
        <v>-7.0706410000000002</v>
      </c>
      <c r="G40" s="36">
        <v>-76.579042000000001</v>
      </c>
    </row>
    <row r="41" spans="1:15" x14ac:dyDescent="0.3">
      <c r="A41" s="8" t="s">
        <v>76</v>
      </c>
      <c r="B41" s="8"/>
      <c r="C41" s="11" t="s">
        <v>94</v>
      </c>
      <c r="D41" s="8"/>
      <c r="E41" s="11" t="s">
        <v>464</v>
      </c>
      <c r="F41">
        <v>-6.8132390000000003</v>
      </c>
      <c r="G41" s="12">
        <v>-76.576070000000001</v>
      </c>
    </row>
    <row r="42" spans="1:15" x14ac:dyDescent="0.3">
      <c r="O42" s="17"/>
    </row>
  </sheetData>
  <autoFilter ref="A1:H4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opLeftCell="A55" zoomScale="78" zoomScaleNormal="78" workbookViewId="0">
      <selection activeCell="J22" sqref="J22"/>
    </sheetView>
  </sheetViews>
  <sheetFormatPr baseColWidth="10" defaultRowHeight="15.6" x14ac:dyDescent="0.3"/>
  <cols>
    <col min="1" max="1" width="20.69921875" customWidth="1"/>
    <col min="3" max="3" width="15.296875" customWidth="1"/>
    <col min="4" max="4" width="15.69921875" customWidth="1"/>
    <col min="5" max="5" width="19.8984375" customWidth="1"/>
    <col min="7" max="7" width="17" customWidth="1"/>
    <col min="8" max="8" width="36.5" customWidth="1"/>
    <col min="13" max="13" width="23.69921875" bestFit="1" customWidth="1"/>
  </cols>
  <sheetData>
    <row r="1" spans="1:16" ht="18.600000000000001" thickBot="1" x14ac:dyDescent="0.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132</v>
      </c>
    </row>
    <row r="2" spans="1:16" ht="16.2" thickTop="1" x14ac:dyDescent="0.3">
      <c r="A2" s="11" t="s">
        <v>125</v>
      </c>
      <c r="B2" s="8"/>
      <c r="C2" s="11" t="s">
        <v>195</v>
      </c>
      <c r="D2" s="8"/>
      <c r="E2" s="11" t="s">
        <v>196</v>
      </c>
      <c r="F2" s="12">
        <v>-7.0914910000000004</v>
      </c>
      <c r="G2" s="12">
        <v>-76.642436000000004</v>
      </c>
      <c r="H2" s="16"/>
      <c r="I2" s="17"/>
      <c r="J2" s="17"/>
      <c r="K2" s="17"/>
      <c r="L2" s="17"/>
      <c r="M2" s="17"/>
      <c r="N2" s="17"/>
      <c r="O2" s="17"/>
      <c r="P2" s="17"/>
    </row>
    <row r="3" spans="1:16" x14ac:dyDescent="0.3">
      <c r="A3" s="11" t="s">
        <v>126</v>
      </c>
      <c r="C3" t="s">
        <v>195</v>
      </c>
      <c r="E3" t="s">
        <v>442</v>
      </c>
      <c r="F3">
        <v>-7.092301</v>
      </c>
      <c r="G3">
        <v>-76.643244999999993</v>
      </c>
      <c r="H3" s="17"/>
      <c r="I3" s="17"/>
      <c r="J3" s="17"/>
      <c r="K3" s="17"/>
      <c r="L3" s="17"/>
      <c r="M3" s="17"/>
      <c r="N3" s="17"/>
      <c r="O3" s="17"/>
      <c r="P3" s="17"/>
    </row>
    <row r="4" spans="1:16" s="8" customFormat="1" x14ac:dyDescent="0.3">
      <c r="A4" s="11" t="s">
        <v>127</v>
      </c>
      <c r="B4" s="11"/>
      <c r="C4" s="11" t="s">
        <v>120</v>
      </c>
      <c r="D4" s="12"/>
      <c r="E4" s="11" t="s">
        <v>121</v>
      </c>
      <c r="F4" s="12">
        <v>-7.0698059999999998</v>
      </c>
      <c r="G4" s="12">
        <f>-76.713863</f>
        <v>-76.713863000000003</v>
      </c>
      <c r="H4" s="20"/>
      <c r="I4" s="20"/>
      <c r="J4" s="28"/>
      <c r="K4" s="28"/>
      <c r="L4" s="16"/>
      <c r="M4" s="16"/>
      <c r="N4" s="16"/>
      <c r="O4" s="16"/>
      <c r="P4" s="16"/>
    </row>
    <row r="5" spans="1:16" s="8" customFormat="1" x14ac:dyDescent="0.3">
      <c r="A5" s="11" t="s">
        <v>128</v>
      </c>
      <c r="B5" s="11"/>
      <c r="C5" s="11" t="s">
        <v>120</v>
      </c>
      <c r="D5" s="11"/>
      <c r="E5" s="11" t="s">
        <v>162</v>
      </c>
      <c r="F5" s="12">
        <v>-7.0698020000000001</v>
      </c>
      <c r="G5" s="12">
        <v>-76.713723999999999</v>
      </c>
      <c r="H5" s="21"/>
      <c r="I5" s="20"/>
      <c r="J5" s="21"/>
      <c r="K5" s="21"/>
      <c r="L5" s="16"/>
      <c r="M5" s="16"/>
      <c r="N5" s="16"/>
      <c r="O5" s="16"/>
      <c r="P5" s="16"/>
    </row>
    <row r="6" spans="1:16" s="8" customFormat="1" x14ac:dyDescent="0.3">
      <c r="A6" s="11" t="s">
        <v>129</v>
      </c>
      <c r="B6" s="11"/>
      <c r="C6" s="11" t="s">
        <v>120</v>
      </c>
      <c r="D6" s="11"/>
      <c r="E6" s="11" t="s">
        <v>163</v>
      </c>
      <c r="F6" s="12">
        <v>-7.0689399999999996</v>
      </c>
      <c r="G6" s="12">
        <v>-76.715320000000006</v>
      </c>
      <c r="H6" s="23"/>
      <c r="I6" s="20"/>
      <c r="J6" s="27"/>
      <c r="K6" s="21"/>
      <c r="L6" s="16"/>
      <c r="M6" s="16"/>
      <c r="N6" s="16"/>
      <c r="O6" s="16"/>
      <c r="P6" s="16"/>
    </row>
    <row r="7" spans="1:16" s="8" customFormat="1" x14ac:dyDescent="0.3">
      <c r="A7" s="11" t="s">
        <v>130</v>
      </c>
      <c r="B7" s="11"/>
      <c r="C7" s="11" t="s">
        <v>120</v>
      </c>
      <c r="D7" s="11"/>
      <c r="E7" s="11" t="s">
        <v>164</v>
      </c>
      <c r="F7" s="12">
        <v>-7.0689489999999999</v>
      </c>
      <c r="G7" s="12">
        <v>-76.714242999999996</v>
      </c>
      <c r="H7" s="23"/>
      <c r="I7" s="20"/>
      <c r="J7" s="28"/>
      <c r="K7" s="27"/>
      <c r="L7" s="16"/>
      <c r="M7" s="16"/>
      <c r="N7" s="16"/>
      <c r="O7" s="16"/>
      <c r="P7" s="16"/>
    </row>
    <row r="8" spans="1:16" s="8" customFormat="1" x14ac:dyDescent="0.3">
      <c r="A8" s="11" t="s">
        <v>131</v>
      </c>
      <c r="B8" s="11"/>
      <c r="C8" s="11" t="s">
        <v>120</v>
      </c>
      <c r="D8" s="11"/>
      <c r="E8" s="11" t="s">
        <v>165</v>
      </c>
      <c r="F8" s="12">
        <v>-7.0682179999999999</v>
      </c>
      <c r="G8" s="12">
        <v>-76.715788000000003</v>
      </c>
      <c r="H8" s="23"/>
      <c r="I8" s="20"/>
      <c r="J8" s="21"/>
      <c r="K8" s="28"/>
      <c r="L8" s="16"/>
      <c r="M8" s="16"/>
      <c r="N8" s="16"/>
      <c r="O8" s="16"/>
      <c r="P8" s="16"/>
    </row>
    <row r="9" spans="1:16" s="8" customFormat="1" x14ac:dyDescent="0.3">
      <c r="A9" s="11" t="s">
        <v>155</v>
      </c>
      <c r="B9" s="11"/>
      <c r="C9" s="11" t="s">
        <v>120</v>
      </c>
      <c r="D9" s="11"/>
      <c r="E9" s="11" t="s">
        <v>166</v>
      </c>
      <c r="F9" s="12">
        <v>-7.0688950000000004</v>
      </c>
      <c r="G9" s="12">
        <v>-76.716041000000004</v>
      </c>
      <c r="H9" s="23"/>
      <c r="I9" s="20"/>
      <c r="J9" s="27"/>
      <c r="K9" s="21"/>
      <c r="L9" s="16"/>
      <c r="M9" s="16"/>
      <c r="N9" s="16"/>
      <c r="O9" s="16"/>
      <c r="P9" s="16"/>
    </row>
    <row r="10" spans="1:16" s="8" customFormat="1" x14ac:dyDescent="0.3">
      <c r="A10" s="11" t="s">
        <v>156</v>
      </c>
      <c r="B10" s="11"/>
      <c r="C10" s="11" t="s">
        <v>120</v>
      </c>
      <c r="D10" s="11"/>
      <c r="E10" s="11" t="s">
        <v>167</v>
      </c>
      <c r="F10" s="12">
        <v>-7.0732850000000003</v>
      </c>
      <c r="G10" s="12">
        <v>-76.718839000000003</v>
      </c>
      <c r="H10" s="23"/>
      <c r="I10" s="20"/>
      <c r="J10" s="28"/>
      <c r="K10" s="27"/>
      <c r="L10" s="16"/>
      <c r="M10" s="16"/>
      <c r="N10" s="16"/>
      <c r="O10" s="16"/>
      <c r="P10" s="16"/>
    </row>
    <row r="11" spans="1:16" s="8" customFormat="1" x14ac:dyDescent="0.3">
      <c r="A11" s="11" t="s">
        <v>157</v>
      </c>
      <c r="B11" s="11"/>
      <c r="C11" s="11" t="s">
        <v>120</v>
      </c>
      <c r="D11" s="11"/>
      <c r="E11" s="11" t="s">
        <v>168</v>
      </c>
      <c r="F11" s="12">
        <v>-7.0730870000000001</v>
      </c>
      <c r="G11" s="12">
        <f>-76.718313</f>
        <v>-76.718312999999995</v>
      </c>
      <c r="H11" s="23"/>
      <c r="I11" s="20"/>
      <c r="J11" s="20"/>
      <c r="K11" s="28"/>
      <c r="L11" s="16"/>
      <c r="M11" s="16"/>
      <c r="N11" s="16"/>
      <c r="O11" s="16"/>
      <c r="P11" s="16"/>
    </row>
    <row r="12" spans="1:16" s="8" customFormat="1" x14ac:dyDescent="0.3">
      <c r="A12" s="11" t="s">
        <v>158</v>
      </c>
      <c r="B12" s="11"/>
      <c r="C12" s="11" t="s">
        <v>120</v>
      </c>
      <c r="D12" s="11"/>
      <c r="E12" s="11" t="s">
        <v>465</v>
      </c>
      <c r="F12" s="12">
        <v>-7.070551</v>
      </c>
      <c r="G12" s="12">
        <v>-76.713716000000005</v>
      </c>
      <c r="H12" s="23"/>
      <c r="I12" s="20"/>
      <c r="J12" s="20"/>
      <c r="K12" s="28"/>
      <c r="L12" s="16"/>
      <c r="M12" s="16"/>
      <c r="N12" s="16"/>
      <c r="O12" s="16"/>
      <c r="P12" s="16"/>
    </row>
    <row r="13" spans="1:16" s="8" customFormat="1" x14ac:dyDescent="0.3">
      <c r="A13" s="11" t="s">
        <v>159</v>
      </c>
      <c r="B13"/>
      <c r="C13" s="11" t="s">
        <v>120</v>
      </c>
      <c r="D13"/>
      <c r="E13" s="11" t="s">
        <v>323</v>
      </c>
      <c r="F13" s="13">
        <v>-7.0706610000000003</v>
      </c>
      <c r="G13" s="13">
        <v>-76.711596</v>
      </c>
      <c r="H13" s="17"/>
      <c r="I13" s="20"/>
      <c r="J13" s="20"/>
      <c r="K13" s="21"/>
      <c r="L13" s="16"/>
      <c r="M13" s="16"/>
      <c r="N13" s="16"/>
      <c r="O13" s="16"/>
      <c r="P13" s="16"/>
    </row>
    <row r="14" spans="1:16" x14ac:dyDescent="0.3">
      <c r="A14" s="11" t="s">
        <v>160</v>
      </c>
      <c r="B14" s="11"/>
      <c r="C14" s="11" t="s">
        <v>116</v>
      </c>
      <c r="D14" s="12"/>
      <c r="E14" s="11" t="s">
        <v>153</v>
      </c>
      <c r="F14" s="12">
        <v>-7.0229249999999999</v>
      </c>
      <c r="G14" s="12">
        <v>-76.723262000000005</v>
      </c>
      <c r="H14" s="20"/>
      <c r="I14" s="17"/>
      <c r="J14" s="17"/>
      <c r="K14" s="17"/>
      <c r="L14" s="17"/>
      <c r="M14" s="17"/>
      <c r="N14" s="17"/>
      <c r="O14" s="17"/>
      <c r="P14" s="17"/>
    </row>
    <row r="15" spans="1:16" x14ac:dyDescent="0.3">
      <c r="A15" s="11" t="s">
        <v>161</v>
      </c>
      <c r="B15" s="11"/>
      <c r="C15" s="11" t="s">
        <v>116</v>
      </c>
      <c r="D15" s="12"/>
      <c r="E15" s="11" t="s">
        <v>154</v>
      </c>
      <c r="F15" s="12">
        <v>-7.0212029999999999</v>
      </c>
      <c r="G15" s="12">
        <f>-76.722772</f>
        <v>-76.722772000000006</v>
      </c>
      <c r="H15" s="20"/>
      <c r="I15" s="17"/>
      <c r="J15" s="17"/>
      <c r="K15" s="17"/>
      <c r="L15" s="17"/>
      <c r="M15" s="17"/>
      <c r="N15" s="17"/>
      <c r="O15" s="17"/>
      <c r="P15" s="17"/>
    </row>
    <row r="16" spans="1:16" x14ac:dyDescent="0.3">
      <c r="A16" s="11" t="s">
        <v>175</v>
      </c>
      <c r="B16" s="11"/>
      <c r="C16" s="11" t="s">
        <v>116</v>
      </c>
      <c r="D16" s="12"/>
      <c r="E16" s="11" t="s">
        <v>117</v>
      </c>
      <c r="F16" s="12">
        <v>-7.020124</v>
      </c>
      <c r="G16" s="12">
        <f>-76.721982</f>
        <v>-76.721981999999997</v>
      </c>
      <c r="H16" s="20"/>
      <c r="I16" s="17"/>
      <c r="J16" s="17"/>
      <c r="K16" s="17"/>
      <c r="L16" s="17"/>
      <c r="M16" s="17"/>
      <c r="N16" s="17"/>
      <c r="O16" s="17"/>
      <c r="P16" s="17"/>
    </row>
    <row r="17" spans="1:16" x14ac:dyDescent="0.3">
      <c r="A17" s="11" t="s">
        <v>176</v>
      </c>
      <c r="B17" s="11"/>
      <c r="C17" s="11" t="s">
        <v>116</v>
      </c>
      <c r="D17" s="12"/>
      <c r="E17" s="11" t="s">
        <v>124</v>
      </c>
      <c r="F17" s="12">
        <v>-7.0217130000000001</v>
      </c>
      <c r="G17" s="12">
        <f>-76.724218</f>
        <v>-76.724217999999993</v>
      </c>
      <c r="H17" s="20"/>
      <c r="I17" s="17"/>
      <c r="J17" s="17"/>
      <c r="K17" s="17"/>
      <c r="L17" s="17"/>
      <c r="M17" s="17"/>
      <c r="N17" s="17"/>
      <c r="O17" s="17"/>
      <c r="P17" s="17"/>
    </row>
    <row r="18" spans="1:16" x14ac:dyDescent="0.3">
      <c r="A18" s="11" t="s">
        <v>177</v>
      </c>
      <c r="B18" s="11"/>
      <c r="C18" s="11" t="s">
        <v>116</v>
      </c>
      <c r="D18" s="11"/>
      <c r="E18" s="11" t="s">
        <v>169</v>
      </c>
      <c r="F18" s="12">
        <v>-7.0233410000000003</v>
      </c>
      <c r="G18" s="12">
        <v>-76.721706999999995</v>
      </c>
      <c r="H18" s="23"/>
      <c r="I18" s="17"/>
      <c r="J18" s="17"/>
      <c r="K18" s="17"/>
      <c r="L18" s="17"/>
      <c r="M18" s="17"/>
      <c r="N18" s="17"/>
      <c r="O18" s="17"/>
      <c r="P18" s="17"/>
    </row>
    <row r="19" spans="1:16" x14ac:dyDescent="0.3">
      <c r="A19" s="11" t="s">
        <v>178</v>
      </c>
      <c r="B19" s="11"/>
      <c r="C19" s="11" t="s">
        <v>116</v>
      </c>
      <c r="D19" s="11"/>
      <c r="E19" s="11" t="s">
        <v>170</v>
      </c>
      <c r="F19" s="12">
        <v>-7.022583</v>
      </c>
      <c r="G19" s="12">
        <v>-76.722849999999994</v>
      </c>
      <c r="H19" s="23"/>
      <c r="I19" s="17"/>
      <c r="J19" s="17"/>
      <c r="K19" s="17"/>
      <c r="L19" s="17"/>
      <c r="M19" s="17"/>
      <c r="N19" s="17"/>
      <c r="O19" s="17"/>
      <c r="P19" s="17"/>
    </row>
    <row r="20" spans="1:16" x14ac:dyDescent="0.3">
      <c r="A20" s="11" t="s">
        <v>179</v>
      </c>
      <c r="C20" s="11" t="s">
        <v>116</v>
      </c>
      <c r="E20" s="11" t="s">
        <v>312</v>
      </c>
      <c r="F20" s="13">
        <v>-7.0228299999999999</v>
      </c>
      <c r="G20" s="13">
        <v>-76.723080999999993</v>
      </c>
      <c r="H20" s="17"/>
      <c r="I20" s="17"/>
      <c r="J20" s="17"/>
      <c r="K20" s="17"/>
      <c r="L20" s="17"/>
      <c r="M20" s="17"/>
      <c r="N20" s="17"/>
      <c r="O20" s="17"/>
      <c r="P20" s="17"/>
    </row>
    <row r="21" spans="1:16" x14ac:dyDescent="0.3">
      <c r="A21" s="11" t="s">
        <v>183</v>
      </c>
      <c r="C21" s="11" t="s">
        <v>116</v>
      </c>
      <c r="E21" s="11" t="s">
        <v>310</v>
      </c>
      <c r="F21" s="13">
        <v>-7.021299</v>
      </c>
      <c r="G21" s="13">
        <v>-76.722999000000002</v>
      </c>
      <c r="H21" s="17"/>
      <c r="I21" s="17"/>
      <c r="J21" s="17"/>
      <c r="K21" s="17"/>
      <c r="L21" s="17"/>
      <c r="M21" s="17"/>
      <c r="N21" s="17"/>
      <c r="O21" s="17"/>
      <c r="P21" s="17"/>
    </row>
    <row r="22" spans="1:16" x14ac:dyDescent="0.3">
      <c r="A22" s="11" t="s">
        <v>184</v>
      </c>
      <c r="C22" s="11" t="s">
        <v>116</v>
      </c>
      <c r="E22" s="11" t="s">
        <v>311</v>
      </c>
      <c r="F22" s="13">
        <v>-7.0212110000000001</v>
      </c>
      <c r="G22" s="13">
        <v>-76.723371999999998</v>
      </c>
      <c r="H22" s="17"/>
      <c r="I22" s="17"/>
      <c r="J22" s="17"/>
      <c r="K22" s="17"/>
      <c r="L22" s="17"/>
      <c r="M22" s="17"/>
      <c r="N22" s="17"/>
      <c r="O22" s="17"/>
      <c r="P22" s="17"/>
    </row>
    <row r="23" spans="1:16" x14ac:dyDescent="0.3">
      <c r="A23" s="11" t="s">
        <v>185</v>
      </c>
      <c r="C23" s="11" t="s">
        <v>116</v>
      </c>
      <c r="E23" s="11" t="s">
        <v>324</v>
      </c>
      <c r="F23" s="13">
        <v>-7.0222759999999997</v>
      </c>
      <c r="G23" s="13">
        <v>-76.723468999999994</v>
      </c>
      <c r="H23" s="17"/>
      <c r="I23" s="17"/>
      <c r="J23" s="17"/>
      <c r="K23" s="17"/>
      <c r="L23" s="17"/>
      <c r="M23" s="17"/>
      <c r="N23" s="17"/>
      <c r="O23" s="17"/>
      <c r="P23" s="17"/>
    </row>
    <row r="24" spans="1:16" x14ac:dyDescent="0.3">
      <c r="A24" s="11" t="s">
        <v>186</v>
      </c>
      <c r="C24" s="11" t="s">
        <v>116</v>
      </c>
      <c r="E24" s="11" t="s">
        <v>433</v>
      </c>
      <c r="F24" s="13">
        <v>-7.0222759999999997</v>
      </c>
      <c r="G24" s="13">
        <v>-76.723468999999994</v>
      </c>
      <c r="H24" s="17"/>
      <c r="I24" s="17"/>
      <c r="J24" s="17"/>
      <c r="K24" s="17"/>
      <c r="L24" s="17"/>
      <c r="M24" s="17"/>
      <c r="N24" s="17"/>
      <c r="O24" s="17"/>
      <c r="P24" s="17"/>
    </row>
    <row r="25" spans="1:16" s="8" customFormat="1" x14ac:dyDescent="0.3">
      <c r="A25" s="11" t="s">
        <v>187</v>
      </c>
      <c r="B25" s="11"/>
      <c r="C25" s="11" t="s">
        <v>122</v>
      </c>
      <c r="D25" s="12"/>
      <c r="E25" s="11" t="s">
        <v>123</v>
      </c>
      <c r="F25" s="12">
        <v>-6.98163</v>
      </c>
      <c r="G25" s="12">
        <v>-76.769739999999999</v>
      </c>
      <c r="H25" s="20"/>
      <c r="I25" s="16"/>
      <c r="J25" s="16"/>
      <c r="K25" s="29"/>
      <c r="L25" s="16"/>
      <c r="M25" s="16"/>
      <c r="N25" s="16"/>
      <c r="O25" s="16"/>
      <c r="P25" s="16"/>
    </row>
    <row r="26" spans="1:16" s="8" customFormat="1" x14ac:dyDescent="0.3">
      <c r="A26" s="11" t="s">
        <v>188</v>
      </c>
      <c r="B26"/>
      <c r="C26" s="11" t="s">
        <v>122</v>
      </c>
      <c r="D26"/>
      <c r="E26" s="11" t="s">
        <v>313</v>
      </c>
      <c r="F26" s="13">
        <v>-6.9818920000000002</v>
      </c>
      <c r="G26" s="13">
        <v>-76.767728000000005</v>
      </c>
      <c r="H26" s="17"/>
      <c r="I26" s="16"/>
      <c r="J26" s="16"/>
      <c r="K26" s="30"/>
      <c r="L26" s="16"/>
      <c r="M26" s="16"/>
      <c r="N26" s="16"/>
      <c r="O26" s="16"/>
      <c r="P26" s="16"/>
    </row>
    <row r="27" spans="1:16" x14ac:dyDescent="0.3">
      <c r="A27" s="11" t="s">
        <v>197</v>
      </c>
      <c r="B27" s="11"/>
      <c r="C27" s="11" t="s">
        <v>118</v>
      </c>
      <c r="D27" s="12"/>
      <c r="E27" s="11" t="s">
        <v>119</v>
      </c>
      <c r="F27" s="12">
        <v>-6.9378330000000004</v>
      </c>
      <c r="G27" s="12">
        <f>-76.772476</f>
        <v>-76.772475999999997</v>
      </c>
      <c r="H27" s="20"/>
      <c r="I27" s="17"/>
      <c r="J27" s="17"/>
      <c r="K27" s="17"/>
      <c r="L27" s="17"/>
      <c r="M27" s="17"/>
      <c r="N27" s="17"/>
      <c r="O27" s="17"/>
      <c r="P27" s="17"/>
    </row>
    <row r="28" spans="1:16" x14ac:dyDescent="0.3">
      <c r="A28" s="11" t="s">
        <v>306</v>
      </c>
      <c r="B28" s="8"/>
      <c r="C28" s="11" t="s">
        <v>118</v>
      </c>
      <c r="D28" s="8"/>
      <c r="E28" s="11" t="s">
        <v>193</v>
      </c>
      <c r="F28" s="12">
        <v>-6.9418939999999996</v>
      </c>
      <c r="G28" s="12">
        <v>-76.768416000000002</v>
      </c>
      <c r="H28" s="23"/>
      <c r="I28" s="17"/>
      <c r="J28" s="17"/>
      <c r="K28" s="17"/>
      <c r="L28" s="17"/>
      <c r="M28" s="17"/>
      <c r="N28" s="17"/>
      <c r="O28" s="17"/>
      <c r="P28" s="17"/>
    </row>
    <row r="29" spans="1:16" s="8" customFormat="1" x14ac:dyDescent="0.3">
      <c r="A29" s="11" t="s">
        <v>307</v>
      </c>
      <c r="C29" s="11" t="s">
        <v>118</v>
      </c>
      <c r="E29" s="11" t="s">
        <v>194</v>
      </c>
      <c r="F29" s="12">
        <v>-6.9378909999999996</v>
      </c>
      <c r="G29" s="12">
        <v>-76.772099999999995</v>
      </c>
      <c r="H29" s="16"/>
      <c r="I29" s="20"/>
      <c r="J29" s="22"/>
      <c r="K29" s="20"/>
      <c r="L29" s="16"/>
      <c r="M29" s="16"/>
      <c r="N29" s="16"/>
      <c r="O29" s="16"/>
      <c r="P29" s="16"/>
    </row>
    <row r="30" spans="1:16" x14ac:dyDescent="0.3">
      <c r="A30" s="11" t="s">
        <v>308</v>
      </c>
      <c r="C30" s="11" t="s">
        <v>118</v>
      </c>
      <c r="E30" s="11" t="s">
        <v>317</v>
      </c>
      <c r="F30" s="13">
        <v>-6.9376800000000003</v>
      </c>
      <c r="G30" s="13">
        <v>-76.775886</v>
      </c>
      <c r="H30" s="17"/>
      <c r="I30" s="20"/>
      <c r="J30" s="22"/>
      <c r="K30" s="24"/>
      <c r="L30" s="17"/>
      <c r="M30" s="17"/>
      <c r="N30" s="17"/>
      <c r="O30" s="17"/>
      <c r="P30" s="17"/>
    </row>
    <row r="31" spans="1:16" x14ac:dyDescent="0.3">
      <c r="A31" s="11" t="s">
        <v>309</v>
      </c>
      <c r="C31" s="11" t="s">
        <v>118</v>
      </c>
      <c r="E31" s="11" t="s">
        <v>318</v>
      </c>
      <c r="F31" s="13">
        <v>-6.9419240000000002</v>
      </c>
      <c r="G31" s="13">
        <v>-76.768039999999999</v>
      </c>
      <c r="H31" s="17"/>
      <c r="I31" s="20"/>
      <c r="J31" s="25"/>
      <c r="K31" s="24"/>
      <c r="L31" s="17"/>
      <c r="M31" s="17"/>
      <c r="N31" s="17"/>
      <c r="O31" s="17"/>
      <c r="P31" s="17"/>
    </row>
    <row r="32" spans="1:16" x14ac:dyDescent="0.3">
      <c r="A32" s="11" t="s">
        <v>314</v>
      </c>
      <c r="C32" s="11" t="s">
        <v>118</v>
      </c>
      <c r="E32" s="11" t="s">
        <v>466</v>
      </c>
      <c r="F32" s="13">
        <v>-6.9412149999999997</v>
      </c>
      <c r="G32" s="13">
        <v>-76.767893000000001</v>
      </c>
      <c r="H32" s="17"/>
      <c r="I32" s="20"/>
      <c r="J32" s="25"/>
      <c r="K32" s="24"/>
      <c r="L32" s="17"/>
      <c r="M32" s="17"/>
      <c r="N32" s="17"/>
      <c r="O32" s="17"/>
      <c r="P32" s="17"/>
    </row>
    <row r="33" spans="1:16" x14ac:dyDescent="0.3">
      <c r="A33" s="11" t="s">
        <v>315</v>
      </c>
      <c r="C33" s="11" t="s">
        <v>118</v>
      </c>
      <c r="E33" s="11" t="s">
        <v>322</v>
      </c>
      <c r="F33" s="13">
        <v>-6.9406220000000003</v>
      </c>
      <c r="G33" s="13">
        <v>-76.775542999999999</v>
      </c>
      <c r="H33" s="17"/>
      <c r="I33" s="20"/>
      <c r="J33" s="26"/>
      <c r="K33" s="22"/>
      <c r="L33" s="17"/>
      <c r="M33" s="17"/>
      <c r="N33" s="17"/>
      <c r="O33" s="17"/>
      <c r="P33" s="17"/>
    </row>
    <row r="34" spans="1:16" x14ac:dyDescent="0.3">
      <c r="A34" s="11" t="s">
        <v>316</v>
      </c>
      <c r="C34" s="11" t="s">
        <v>118</v>
      </c>
      <c r="E34" s="11" t="s">
        <v>434</v>
      </c>
      <c r="F34" s="13">
        <v>-6.9373480000000001</v>
      </c>
      <c r="G34">
        <f>-76.776292</f>
        <v>-76.776291999999998</v>
      </c>
      <c r="H34" s="17"/>
      <c r="I34" s="20"/>
      <c r="J34" s="22"/>
      <c r="K34" s="22"/>
      <c r="L34" s="17"/>
      <c r="M34" s="17"/>
      <c r="N34" s="17"/>
      <c r="O34" s="17"/>
      <c r="P34" s="17"/>
    </row>
    <row r="35" spans="1:16" x14ac:dyDescent="0.3">
      <c r="A35" s="11" t="s">
        <v>319</v>
      </c>
      <c r="C35" s="11" t="s">
        <v>437</v>
      </c>
      <c r="E35" s="11" t="s">
        <v>194</v>
      </c>
      <c r="F35" s="13">
        <v>-6.8963349999999997</v>
      </c>
      <c r="G35" s="13">
        <v>-76.807813999999993</v>
      </c>
      <c r="H35" s="17"/>
      <c r="I35" s="17"/>
      <c r="J35" s="17"/>
      <c r="K35" s="17"/>
      <c r="L35" s="17"/>
      <c r="M35" s="17"/>
      <c r="N35" s="17"/>
      <c r="O35" s="17"/>
      <c r="P35" s="17"/>
    </row>
    <row r="36" spans="1:16" s="8" customFormat="1" x14ac:dyDescent="0.3">
      <c r="A36" s="11" t="s">
        <v>320</v>
      </c>
      <c r="C36" s="11" t="s">
        <v>172</v>
      </c>
      <c r="E36" s="11" t="s">
        <v>171</v>
      </c>
      <c r="F36" s="12">
        <v>-6.8629790000000002</v>
      </c>
      <c r="G36" s="12">
        <v>-76.805566999999996</v>
      </c>
      <c r="H36" s="23"/>
      <c r="I36" s="20"/>
      <c r="J36" s="27"/>
      <c r="K36" s="27"/>
      <c r="L36" s="16"/>
      <c r="M36" s="16"/>
      <c r="N36" s="16"/>
      <c r="O36" s="16"/>
      <c r="P36" s="16"/>
    </row>
    <row r="37" spans="1:16" x14ac:dyDescent="0.3">
      <c r="A37" s="11" t="s">
        <v>321</v>
      </c>
      <c r="B37" s="8"/>
      <c r="C37" s="11" t="s">
        <v>174</v>
      </c>
      <c r="D37" s="8"/>
      <c r="E37" s="11" t="s">
        <v>173</v>
      </c>
      <c r="F37" s="12">
        <v>-6.836951</v>
      </c>
      <c r="G37" s="12">
        <v>-76.789548999999994</v>
      </c>
      <c r="H37" s="23"/>
      <c r="I37" s="17"/>
      <c r="J37" s="17"/>
      <c r="K37" s="17"/>
      <c r="L37" s="17"/>
      <c r="M37" s="17"/>
      <c r="N37" s="17"/>
      <c r="O37" s="17"/>
      <c r="P37" s="17"/>
    </row>
    <row r="38" spans="1:16" x14ac:dyDescent="0.3">
      <c r="A38" s="11" t="s">
        <v>435</v>
      </c>
      <c r="B38" s="17"/>
      <c r="C38" s="20" t="s">
        <v>174</v>
      </c>
      <c r="D38" s="17"/>
      <c r="E38" s="20" t="s">
        <v>468</v>
      </c>
      <c r="F38" s="17">
        <v>-6.8359940000000003</v>
      </c>
      <c r="G38" s="17">
        <v>-76.787892999999997</v>
      </c>
      <c r="H38" s="23"/>
      <c r="I38" s="17"/>
      <c r="J38" s="17"/>
      <c r="K38" s="17"/>
      <c r="L38" s="17"/>
      <c r="M38" s="37"/>
      <c r="N38">
        <v>-7</v>
      </c>
    </row>
    <row r="39" spans="1:16" x14ac:dyDescent="0.3">
      <c r="A39" s="11" t="s">
        <v>436</v>
      </c>
      <c r="C39" s="11" t="s">
        <v>438</v>
      </c>
      <c r="E39" s="11" t="s">
        <v>439</v>
      </c>
      <c r="F39" s="13">
        <v>-6.8080449999999999</v>
      </c>
      <c r="G39">
        <f>-76.800664</f>
        <v>-76.800663999999998</v>
      </c>
      <c r="H39" s="16"/>
      <c r="I39" s="17"/>
      <c r="J39" s="17"/>
      <c r="K39" s="17"/>
      <c r="L39" s="17"/>
      <c r="M39" s="17"/>
      <c r="N39" s="17"/>
      <c r="O39" s="17"/>
      <c r="P39" s="17"/>
    </row>
    <row r="40" spans="1:16" x14ac:dyDescent="0.3">
      <c r="A40" s="11" t="s">
        <v>443</v>
      </c>
      <c r="C40" s="11" t="s">
        <v>438</v>
      </c>
      <c r="E40" s="11" t="s">
        <v>467</v>
      </c>
      <c r="F40" s="13">
        <v>-6.8074810000000001</v>
      </c>
      <c r="G40">
        <v>-76.800557999999995</v>
      </c>
      <c r="H40" s="16"/>
      <c r="I40" s="17"/>
      <c r="J40" s="17"/>
      <c r="K40" s="17"/>
      <c r="L40" s="17"/>
      <c r="M40" s="17"/>
      <c r="N40" s="17"/>
      <c r="O40" s="17"/>
      <c r="P40" s="17"/>
    </row>
    <row r="41" spans="1:16" s="8" customFormat="1" x14ac:dyDescent="0.3">
      <c r="A41" s="11" t="s">
        <v>444</v>
      </c>
      <c r="C41" s="11" t="s">
        <v>181</v>
      </c>
      <c r="E41" s="11" t="s">
        <v>180</v>
      </c>
      <c r="F41" s="12">
        <v>-6.765072</v>
      </c>
      <c r="G41" s="12">
        <v>-76.813704999999999</v>
      </c>
      <c r="H41" s="23"/>
      <c r="I41" s="16"/>
      <c r="J41" s="16"/>
      <c r="K41" s="31"/>
      <c r="L41" s="16"/>
      <c r="M41" s="16"/>
      <c r="N41" s="16"/>
      <c r="O41" s="16"/>
      <c r="P41" s="16"/>
    </row>
    <row r="42" spans="1:16" s="8" customFormat="1" x14ac:dyDescent="0.3">
      <c r="A42" s="11" t="s">
        <v>445</v>
      </c>
      <c r="C42" s="11" t="s">
        <v>181</v>
      </c>
      <c r="E42" s="11" t="s">
        <v>182</v>
      </c>
      <c r="F42" s="12">
        <v>-6.7653780000000001</v>
      </c>
      <c r="G42" s="12">
        <v>-76.814306999999999</v>
      </c>
      <c r="H42" s="23"/>
      <c r="I42" s="16"/>
      <c r="J42" s="16"/>
      <c r="K42" s="29"/>
      <c r="L42" s="16"/>
      <c r="M42" s="16"/>
      <c r="N42" s="16"/>
      <c r="O42" s="16"/>
      <c r="P42" s="16"/>
    </row>
    <row r="43" spans="1:16" s="8" customFormat="1" x14ac:dyDescent="0.3">
      <c r="A43" s="11" t="s">
        <v>446</v>
      </c>
      <c r="C43" s="11" t="s">
        <v>181</v>
      </c>
      <c r="E43" s="11" t="s">
        <v>474</v>
      </c>
      <c r="F43" s="12">
        <v>-6.7652279999999996</v>
      </c>
      <c r="G43" s="12">
        <v>-76.814789000000005</v>
      </c>
      <c r="H43" s="23"/>
      <c r="I43" s="16"/>
      <c r="J43" s="16"/>
      <c r="K43" s="29"/>
      <c r="L43" s="16"/>
      <c r="M43" s="16"/>
      <c r="N43" s="16"/>
      <c r="O43" s="16"/>
      <c r="P43" s="16"/>
    </row>
    <row r="44" spans="1:16" x14ac:dyDescent="0.3">
      <c r="A44" s="11" t="s">
        <v>469</v>
      </c>
      <c r="C44" s="11" t="s">
        <v>181</v>
      </c>
      <c r="E44" s="11" t="s">
        <v>440</v>
      </c>
      <c r="F44" s="13">
        <v>-6.7640289999999998</v>
      </c>
      <c r="G44" s="13">
        <v>-76.813924</v>
      </c>
      <c r="H44" s="17"/>
      <c r="I44" s="17"/>
      <c r="J44" s="17"/>
      <c r="K44" s="32"/>
      <c r="L44" s="17"/>
      <c r="M44" s="17"/>
      <c r="N44" s="17"/>
      <c r="O44" s="17"/>
      <c r="P44" s="17"/>
    </row>
    <row r="45" spans="1:16" x14ac:dyDescent="0.3">
      <c r="A45" s="11" t="s">
        <v>470</v>
      </c>
      <c r="C45" s="11" t="s">
        <v>181</v>
      </c>
      <c r="E45" s="11" t="s">
        <v>441</v>
      </c>
      <c r="F45" s="13">
        <v>-6.7653379999999999</v>
      </c>
      <c r="G45">
        <f>-76.817263</f>
        <v>-76.817262999999997</v>
      </c>
      <c r="H45" s="17"/>
      <c r="I45" s="17"/>
      <c r="J45" s="17"/>
      <c r="K45" s="17"/>
      <c r="L45" s="17"/>
      <c r="M45" s="17"/>
      <c r="N45" s="17"/>
      <c r="O45" s="17"/>
      <c r="P45" s="17"/>
    </row>
    <row r="46" spans="1:16" x14ac:dyDescent="0.3">
      <c r="A46" s="11" t="s">
        <v>471</v>
      </c>
      <c r="B46" s="8"/>
      <c r="C46" s="11" t="s">
        <v>189</v>
      </c>
      <c r="D46" s="8"/>
      <c r="E46" s="11" t="s">
        <v>190</v>
      </c>
      <c r="F46" s="12">
        <v>-6.7265750000000004</v>
      </c>
      <c r="G46" s="12">
        <v>-76.832003</v>
      </c>
      <c r="H46" s="23"/>
      <c r="I46" s="17"/>
      <c r="J46" s="17"/>
      <c r="K46" s="17"/>
      <c r="L46" s="17"/>
      <c r="M46" s="17"/>
      <c r="N46" s="17"/>
      <c r="O46" s="17"/>
      <c r="P46" s="17"/>
    </row>
    <row r="47" spans="1:16" x14ac:dyDescent="0.3">
      <c r="A47" s="11" t="s">
        <v>472</v>
      </c>
      <c r="B47" s="8"/>
      <c r="C47" s="11" t="s">
        <v>189</v>
      </c>
      <c r="D47" s="8"/>
      <c r="E47" s="11" t="s">
        <v>191</v>
      </c>
      <c r="F47" s="12">
        <v>-6.7255599999999998</v>
      </c>
      <c r="G47" s="12">
        <v>-76.832341999999997</v>
      </c>
      <c r="H47" s="23"/>
      <c r="I47" s="17"/>
      <c r="J47" s="17"/>
      <c r="K47" s="17"/>
      <c r="L47" s="17"/>
      <c r="M47" s="17"/>
      <c r="N47" s="17"/>
      <c r="O47" s="17"/>
      <c r="P47" s="17"/>
    </row>
    <row r="48" spans="1:16" x14ac:dyDescent="0.3">
      <c r="A48" s="11" t="s">
        <v>473</v>
      </c>
      <c r="B48" s="8"/>
      <c r="C48" s="11" t="s">
        <v>189</v>
      </c>
      <c r="D48" s="8"/>
      <c r="E48" s="11" t="s">
        <v>192</v>
      </c>
      <c r="F48" s="12">
        <v>-6.7254649999999998</v>
      </c>
      <c r="G48" s="12">
        <v>-76.832999000000001</v>
      </c>
      <c r="H48" s="23"/>
      <c r="I48" s="17"/>
      <c r="J48" s="17"/>
      <c r="K48" s="17"/>
      <c r="L48" s="17"/>
      <c r="M48" s="17"/>
      <c r="N48" s="17"/>
      <c r="O48" s="17"/>
      <c r="P48" s="17"/>
    </row>
  </sheetData>
  <autoFilter ref="A1:H48"/>
  <sortState ref="A2:H44">
    <sortCondition descending="1" ref="C2:C4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RUTA 41</vt:lpstr>
      <vt:lpstr>RUTA 42 </vt:lpstr>
      <vt:lpstr>RUTA 43</vt:lpstr>
      <vt:lpstr>RUTA 44</vt:lpstr>
      <vt:lpstr>RUTA 45</vt:lpstr>
      <vt:lpstr>RUTA 46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Robinson Billy Pérez Montoya</cp:lastModifiedBy>
  <dcterms:created xsi:type="dcterms:W3CDTF">2025-11-07T15:20:24Z</dcterms:created>
  <dcterms:modified xsi:type="dcterms:W3CDTF">2026-08-15T14:14:06Z</dcterms:modified>
</cp:coreProperties>
</file>